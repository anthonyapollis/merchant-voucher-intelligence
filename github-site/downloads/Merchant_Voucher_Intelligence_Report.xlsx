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Cover" sheetId="1" r:id="rId1"/>
    <sheet name="2. Executive Summary" sheetId="2" r:id="rId2"/>
    <sheet name="3. Merchant Scorecard" sheetId="3" r:id="rId3"/>
    <sheet name="4. Voucher Analysis" sheetId="4" r:id="rId4"/>
    <sheet name="5. Operational View" sheetId="5" r:id="rId5"/>
    <sheet name="6. Anomalies &amp; Alerts" sheetId="6" r:id="rId6"/>
    <sheet name="7. ML Model Results" sheetId="7" r:id="rId7"/>
    <sheet name="8. Business Questions" sheetId="8" r:id="rId8"/>
    <sheet name="9. Data Dictionary" sheetId="9" r:id="rId9"/>
    <sheet name="10. Assumptions" sheetId="10" r:id="rId10"/>
  </sheets>
  <definedNames>
    <definedName name="_xlnm._FilterDatabase" localSheetId="2" hidden="1">'3. Merchant Scorecard'!$B$6:$Y$31</definedName>
    <definedName name="_xlnm._FilterDatabase" localSheetId="8" hidden="1">'9. Data Dictionary'!$B$42:$F$76</definedName>
  </definedNames>
  <calcPr calcId="124519" fullCalcOnLoad="1"/>
</workbook>
</file>

<file path=xl/sharedStrings.xml><?xml version="1.0" encoding="utf-8"?>
<sst xmlns="http://schemas.openxmlformats.org/spreadsheetml/2006/main" count="1096" uniqueCount="665">
  <si>
    <t>Merchant Sales &amp; Voucher Intelligence</t>
  </si>
  <si>
    <t>BI Developer Second-Round Practical Task  |  Microsoft Fabric + Power BI + dbt</t>
  </si>
  <si>
    <t>Reporting period: 1 January 2026 – 31 July 2026  (212 days, 25 merchants)</t>
  </si>
  <si>
    <t xml:space="preserve">  CONTENTS</t>
  </si>
  <si>
    <t>2. Executive Summary</t>
  </si>
  <si>
    <t>Headline KPIs, monthly trend, region and voucher performance</t>
  </si>
  <si>
    <t>3. Merchant Scorecard</t>
  </si>
  <si>
    <t>All 25 merchants ranked, with health score and revenue at risk</t>
  </si>
  <si>
    <t>4. Voucher Analysis</t>
  </si>
  <si>
    <t>Redemption rate by type, time-to-redeem, outstanding liability</t>
  </si>
  <si>
    <t>5. Operational View</t>
  </si>
  <si>
    <t>Ticket volume, SLA breach analysis, the SLA policy finding</t>
  </si>
  <si>
    <t>6. Anomalies &amp; Alerts</t>
  </si>
  <si>
    <t>Rules-based alerts and Isolation Forest detections</t>
  </si>
  <si>
    <t>7. ML Model Results</t>
  </si>
  <si>
    <t>Five models: metrics, feature importance, forecast, segments</t>
  </si>
  <si>
    <t>8. Business Questions</t>
  </si>
  <si>
    <t>The five questions in the brief, with computed answers</t>
  </si>
  <si>
    <t>9. Data Dictionary</t>
  </si>
  <si>
    <t>Every field: source, grain, type and definition</t>
  </si>
  <si>
    <t>10. Assumptions</t>
  </si>
  <si>
    <t>Documented decisions, known data issues and limitations</t>
  </si>
  <si>
    <t xml:space="preserve">  DATA PROVENANCE &amp; INTEGRITY</t>
  </si>
  <si>
    <t>Source files</t>
  </si>
  <si>
    <t>4 CSV files as supplied (MerchantSales, VoucherRedemptions, SupportTickets, MerchantReference)</t>
  </si>
  <si>
    <t>Rows processed</t>
  </si>
  <si>
    <t>120,969 vouchers, 26,500 sales rows, 1,363 tickets, 25 merchants</t>
  </si>
  <si>
    <t>Architecture</t>
  </si>
  <si>
    <t>Medallion: bronze (raw + lineage) → silver (typed, cleansed, conformed) → gold (Kimball star schema)</t>
  </si>
  <si>
    <t>Warehouse integrity tests</t>
  </si>
  <si>
    <t>14 / 14 passed</t>
  </si>
  <si>
    <t>dbt build</t>
  </si>
  <si>
    <t>153 pass · 0 warn · 0 error  (18 models, 1 SCD2 snapshot, 132 tests)</t>
  </si>
  <si>
    <t>SCD Type 2 validation</t>
  </si>
  <si>
    <t>7 / 7 behaviour assertions passed</t>
  </si>
  <si>
    <t>Python ↔ dbt reconciliation</t>
  </si>
  <si>
    <t>27 passed, 1 warning, 0 failed</t>
  </si>
  <si>
    <t>Reconciliation note</t>
  </si>
  <si>
    <t>The gold layer is built twice by independent implementations (pandas and dbt SQL). Every headline figure agrees to the cent; the single warning is a documented rounding-convention difference of 0.1 on the health score.</t>
  </si>
  <si>
    <t>Figures in this workbook</t>
  </si>
  <si>
    <t>Read directly from the gold layer. Nothing is recomputed here, which is why this pack and the Power BI report agree.</t>
  </si>
  <si>
    <t>Prepared by Anthony Apollis  ·  All figures computed from the supplied synthetic dataset  ·  Generated 11 August 2026</t>
  </si>
  <si>
    <t>Executive Summary</t>
  </si>
  <si>
    <t>1 Jan 2026 – 31 Jul 2026  ·  all figures in ZAR</t>
  </si>
  <si>
    <t>TOTAL SALES</t>
  </si>
  <si>
    <t>R65.5m across 25 merchants</t>
  </si>
  <si>
    <t>TRANSACTIONS</t>
  </si>
  <si>
    <t>avg basket R128.44</t>
  </si>
  <si>
    <t>REDEMPTION RATE</t>
  </si>
  <si>
    <t>101,843 of 120,969 vouchers</t>
  </si>
  <si>
    <t>AVG RESOLUTION</t>
  </si>
  <si>
    <t>hours  ·  median 16.4h</t>
  </si>
  <si>
    <t>SLA BREACH RATE</t>
  </si>
  <si>
    <t>358 of 1,363 tickets</t>
  </si>
  <si>
    <t>OUTSTANDING LIABILITY</t>
  </si>
  <si>
    <t>unredeemed voucher value</t>
  </si>
  <si>
    <t>AVG DAYS TO REDEEM</t>
  </si>
  <si>
    <t>median 2 days  ·  max 54</t>
  </si>
  <si>
    <t>DELAYED REDEMPTIONS</t>
  </si>
  <si>
    <t>redeemed after &gt; 7 days</t>
  </si>
  <si>
    <t>OPEN TICKETS</t>
  </si>
  <si>
    <t>backlog across all merchants</t>
  </si>
  <si>
    <t>REVENUE AT RISK</t>
  </si>
  <si>
    <t>annualised, deteriorating merchants</t>
  </si>
  <si>
    <t xml:space="preserve">  MONTHLY TREND</t>
  </si>
  <si>
    <t>Month</t>
  </si>
  <si>
    <t>Sales Value</t>
  </si>
  <si>
    <t>Transactions</t>
  </si>
  <si>
    <t>Sales MoM %</t>
  </si>
  <si>
    <t>Avg Basket</t>
  </si>
  <si>
    <t>Redemption %</t>
  </si>
  <si>
    <t>Avg Days to Redeem</t>
  </si>
  <si>
    <t>Tickets</t>
  </si>
  <si>
    <t>Avg Resolution (h)</t>
  </si>
  <si>
    <t>SLA Breach %</t>
  </si>
  <si>
    <t>2026-01</t>
  </si>
  <si>
    <t>198</t>
  </si>
  <si>
    <t>2026-02</t>
  </si>
  <si>
    <t>156</t>
  </si>
  <si>
    <t>2026-03</t>
  </si>
  <si>
    <t>177</t>
  </si>
  <si>
    <t>2026-04</t>
  </si>
  <si>
    <t>170</t>
  </si>
  <si>
    <t>2026-05</t>
  </si>
  <si>
    <t>188</t>
  </si>
  <si>
    <t>2026-06</t>
  </si>
  <si>
    <t>215</t>
  </si>
  <si>
    <t>2026-07</t>
  </si>
  <si>
    <t>259</t>
  </si>
  <si>
    <t xml:space="preserve">  REGION PERFORMANCE</t>
  </si>
  <si>
    <t>Region</t>
  </si>
  <si>
    <t>Total Sales</t>
  </si>
  <si>
    <t>Share of Sales</t>
  </si>
  <si>
    <t>Trend % of Avg</t>
  </si>
  <si>
    <t>Last Month MoM</t>
  </si>
  <si>
    <t>Last 2M Avg MoM</t>
  </si>
  <si>
    <t>Peak Month</t>
  </si>
  <si>
    <t>vs Own Peak</t>
  </si>
  <si>
    <t>Free State</t>
  </si>
  <si>
    <t>138619</t>
  </si>
  <si>
    <t>Gauteng</t>
  </si>
  <si>
    <t>127223</t>
  </si>
  <si>
    <t>Western Cape</t>
  </si>
  <si>
    <t>101805</t>
  </si>
  <si>
    <t>KwaZulu-Natal</t>
  </si>
  <si>
    <t>74265</t>
  </si>
  <si>
    <t>Eastern Cape</t>
  </si>
  <si>
    <t>68215</t>
  </si>
  <si>
    <t>Eastern Cape is the only region below its own peak (-9.8%) and the only one that peaked before July. Its trend slope is +2.0% of average monthly sales against +4.4% to +8.5% elsewhere.</t>
  </si>
  <si>
    <t>Eastern Cape is the only region below its own peak (-9.8%) and the only one that peaked before July. Its trend slope is +2.0% of average monthly sales against +4.4% to +8.5% elsewhere — four independent signals, not one bad month.</t>
  </si>
  <si>
    <t xml:space="preserve">  VOUCHER TYPE PERFORMANCE</t>
  </si>
  <si>
    <t>Voucher Type</t>
  </si>
  <si>
    <t>Vouchers Sold</t>
  </si>
  <si>
    <t>Value Redemption %</t>
  </si>
  <si>
    <t>Delayed %</t>
  </si>
  <si>
    <t>Sales Share</t>
  </si>
  <si>
    <t>Outstanding Value</t>
  </si>
  <si>
    <t>Airtime</t>
  </si>
  <si>
    <t>26253</t>
  </si>
  <si>
    <t>Electricity</t>
  </si>
  <si>
    <t>24691</t>
  </si>
  <si>
    <t>Groceries</t>
  </si>
  <si>
    <t>24856</t>
  </si>
  <si>
    <t>Bill Payment</t>
  </si>
  <si>
    <t>22489</t>
  </si>
  <si>
    <t>Gaming</t>
  </si>
  <si>
    <t>22680</t>
  </si>
  <si>
    <t>Airtime redeems at 92.8% against Gaming at 75.9% — a 16.9 percentage point spread. Time-to-redeem is effectively identical across types (3.5–3.7 days), so the difference is whether customers redeem at all, not how quickly.</t>
  </si>
  <si>
    <t>Merchant Scorecard</t>
  </si>
  <si>
    <t>All 25 merchants. Health Score is a weighted composite of momentum, trend, target attainment, redemption and operational deterioration.</t>
  </si>
  <si>
    <t>Merchant</t>
  </si>
  <si>
    <t>Channel</t>
  </si>
  <si>
    <t>Account Manager</t>
  </si>
  <si>
    <t>Rank</t>
  </si>
  <si>
    <t>Cumulative</t>
  </si>
  <si>
    <t>Target Index</t>
  </si>
  <si>
    <t>MoM %</t>
  </si>
  <si>
    <t>vs Prior 3M</t>
  </si>
  <si>
    <t>Last3 vs First3</t>
  </si>
  <si>
    <t>Days to Redeem</t>
  </si>
  <si>
    <t>Tickets/1k</t>
  </si>
  <si>
    <t>Ticket Trend</t>
  </si>
  <si>
    <t>Health Score</t>
  </si>
  <si>
    <t>Band</t>
  </si>
  <si>
    <t>Revenue at Risk</t>
  </si>
  <si>
    <t>Focus Score</t>
  </si>
  <si>
    <t>Durban Cash Hub</t>
  </si>
  <si>
    <t>Retail</t>
  </si>
  <si>
    <t>T. Mokoena</t>
  </si>
  <si>
    <t>1</t>
  </si>
  <si>
    <t>45371</t>
  </si>
  <si>
    <t>124</t>
  </si>
  <si>
    <t>Watch</t>
  </si>
  <si>
    <t>Kudu Digital Kiosk</t>
  </si>
  <si>
    <t>Agent Network</t>
  </si>
  <si>
    <t>A. Naidoo</t>
  </si>
  <si>
    <t>2</t>
  </si>
  <si>
    <t>35458</t>
  </si>
  <si>
    <t>63</t>
  </si>
  <si>
    <t>Star</t>
  </si>
  <si>
    <t>Zebra Route Services</t>
  </si>
  <si>
    <t>3</t>
  </si>
  <si>
    <t>35910</t>
  </si>
  <si>
    <t>67</t>
  </si>
  <si>
    <t>Healthy</t>
  </si>
  <si>
    <t>Karoo Quick Shop</t>
  </si>
  <si>
    <t>Wholesale</t>
  </si>
  <si>
    <t>S. Jacobs</t>
  </si>
  <si>
    <t>4</t>
  </si>
  <si>
    <t>34657</t>
  </si>
  <si>
    <t>51</t>
  </si>
  <si>
    <t>Lighthouse General Dealer</t>
  </si>
  <si>
    <t>5</t>
  </si>
  <si>
    <t>31124</t>
  </si>
  <si>
    <t>35</t>
  </si>
  <si>
    <t>North Coast Connect</t>
  </si>
  <si>
    <t>Online</t>
  </si>
  <si>
    <t>6</t>
  </si>
  <si>
    <t>29341</t>
  </si>
  <si>
    <t>45</t>
  </si>
  <si>
    <t>Critical</t>
  </si>
  <si>
    <t>Ubuntu Trading Post</t>
  </si>
  <si>
    <t>7</t>
  </si>
  <si>
    <t>27865</t>
  </si>
  <si>
    <t>80</t>
  </si>
  <si>
    <t>Table Bay Express</t>
  </si>
  <si>
    <t>8</t>
  </si>
  <si>
    <t>26056</t>
  </si>
  <si>
    <t>48</t>
  </si>
  <si>
    <t>Blue Crane Trading</t>
  </si>
  <si>
    <t>9</t>
  </si>
  <si>
    <t>25532</t>
  </si>
  <si>
    <t>44</t>
  </si>
  <si>
    <t>Liberty Lane Stores</t>
  </si>
  <si>
    <t>L. Govender</t>
  </si>
  <si>
    <t>10</t>
  </si>
  <si>
    <t>24828</t>
  </si>
  <si>
    <t>30</t>
  </si>
  <si>
    <t>Wild Coast Convenience</t>
  </si>
  <si>
    <t>11</t>
  </si>
  <si>
    <t>23836</t>
  </si>
  <si>
    <t>Soweto Super Save</t>
  </si>
  <si>
    <t>12</t>
  </si>
  <si>
    <t>23409</t>
  </si>
  <si>
    <t>41</t>
  </si>
  <si>
    <t>Mzansi Mini Market</t>
  </si>
  <si>
    <t>R. Pillay</t>
  </si>
  <si>
    <t>13</t>
  </si>
  <si>
    <t>20364</t>
  </si>
  <si>
    <t>23</t>
  </si>
  <si>
    <t>Mango Tree Mobile</t>
  </si>
  <si>
    <t>14</t>
  </si>
  <si>
    <t>16929</t>
  </si>
  <si>
    <t>109</t>
  </si>
  <si>
    <t>Marula Market</t>
  </si>
  <si>
    <t>15</t>
  </si>
  <si>
    <t>16518</t>
  </si>
  <si>
    <t>62</t>
  </si>
  <si>
    <t>Pretoria PayPoint</t>
  </si>
  <si>
    <t>16</t>
  </si>
  <si>
    <t>16127</t>
  </si>
  <si>
    <t>32</t>
  </si>
  <si>
    <t>Nelson Bay Traders</t>
  </si>
  <si>
    <t>17</t>
  </si>
  <si>
    <t>12930</t>
  </si>
  <si>
    <t>76</t>
  </si>
  <si>
    <t>Sunbird Topups</t>
  </si>
  <si>
    <t>18</t>
  </si>
  <si>
    <t>13079</t>
  </si>
  <si>
    <t>43</t>
  </si>
  <si>
    <t>Jozi Corner Store</t>
  </si>
  <si>
    <t>19</t>
  </si>
  <si>
    <t>11483</t>
  </si>
  <si>
    <t>Golden Mile Grocers</t>
  </si>
  <si>
    <t>20</t>
  </si>
  <si>
    <t>10942</t>
  </si>
  <si>
    <t>Berg River Retail</t>
  </si>
  <si>
    <t>21</t>
  </si>
  <si>
    <t>8197</t>
  </si>
  <si>
    <t>69</t>
  </si>
  <si>
    <t>Valley View Retail</t>
  </si>
  <si>
    <t>22</t>
  </si>
  <si>
    <t>6032</t>
  </si>
  <si>
    <t>39</t>
  </si>
  <si>
    <t>Cape Point Cellular</t>
  </si>
  <si>
    <t>5668</t>
  </si>
  <si>
    <t>Umhlanga Value Mart</t>
  </si>
  <si>
    <t>24</t>
  </si>
  <si>
    <t>4954</t>
  </si>
  <si>
    <t>Highveld Voucher Depot</t>
  </si>
  <si>
    <t>25</t>
  </si>
  <si>
    <t>3517</t>
  </si>
  <si>
    <t>66</t>
  </si>
  <si>
    <t>HEALTH SCORE COMPOSITION</t>
  </si>
  <si>
    <t>Component</t>
  </si>
  <si>
    <t>Weight</t>
  </si>
  <si>
    <t>Direction</t>
  </si>
  <si>
    <t>Recent momentum (latest month vs prior 3-month average)</t>
  </si>
  <si>
    <t>Higher is better</t>
  </si>
  <si>
    <t>Month-on-month change</t>
  </si>
  <si>
    <t>Structural trend (last 3 vs first 3 months)</t>
  </si>
  <si>
    <t>Target attainment index</t>
  </si>
  <si>
    <t>Redemption rate</t>
  </si>
  <si>
    <t>Operational deterioration (ticket volume vs own history)</t>
  </si>
  <si>
    <t>Lower is better</t>
  </si>
  <si>
    <t>Redemption speed</t>
  </si>
  <si>
    <t>SLA breach rate</t>
  </si>
  <si>
    <t>Each component is converted to a percentile rank across the 25 merchants, then weighted. Percentile ranking makes the components comparable despite different units, and means the score is always relative to the current portfolio. Bands: Critical &lt; 35, Watch 35–55, Healthy 55–75, Star 75+.</t>
  </si>
  <si>
    <t>Each component is converted to a percentile rank across the 25 merchants, then weighted. Percentile ranking makes components with different units comparable, and keeps the score relative to the current portfolio. Bands: Critical &lt;35, Watch 35–55, Healthy 55–75, Star 75+. Note that operational deterioration uses ticket CHANGE, not tickets per 1,000 transactions — the latter correlates with merchant size at r = -0.83 and would mostly measure how small a merchant is.</t>
  </si>
  <si>
    <t>Voucher &amp; Redemption Analysis</t>
  </si>
  <si>
    <t>120,969 vouchers worth R22,019,853 issued  ·  84.2% redeemed</t>
  </si>
  <si>
    <t xml:space="preserve">  REDEMPTION BY VOUCHER TYPE</t>
  </si>
  <si>
    <t xml:space="preserve">  REDEMPTION RATE BY TYPE AND MONTH</t>
  </si>
  <si>
    <t>VoucherType</t>
  </si>
  <si>
    <t xml:space="preserve">  DELAYED REDEMPTION HOTSPOTS — region × voucher type</t>
  </si>
  <si>
    <t>Deviation from Own Avg (days)</t>
  </si>
  <si>
    <t>526</t>
  </si>
  <si>
    <t>653</t>
  </si>
  <si>
    <t>631</t>
  </si>
  <si>
    <t>399</t>
  </si>
  <si>
    <t>1170</t>
  </si>
  <si>
    <t>536</t>
  </si>
  <si>
    <t>607</t>
  </si>
  <si>
    <t>491</t>
  </si>
  <si>
    <t>603</t>
  </si>
  <si>
    <t>515</t>
  </si>
  <si>
    <t>628</t>
  </si>
  <si>
    <t>484</t>
  </si>
  <si>
    <t>Western Cape × Bill Payment in April 2026 is a clear outlier: average time-to-redeem runs 12.1 days above that combination's own average across other months. Every other region/type/month deviation is under half a day. This is a localised April incident, not a systemic redemption problem.</t>
  </si>
  <si>
    <t>Western Cape × Bill Payment in April 2026 is a clear outlier: average time-to-redeem runs 12.1 days above that combination's own average across other months, while every other region/type/month deviation is under half a day. A localised April incident, not a systemic redemption problem.</t>
  </si>
  <si>
    <t>Operational View</t>
  </si>
  <si>
    <t>1,363 tickets  ·  26.3% breached SLA  ·  239 still open</t>
  </si>
  <si>
    <t>TOTAL TICKETS</t>
  </si>
  <si>
    <t>1 Jan – 31 Jul 2026</t>
  </si>
  <si>
    <t>hours · median 16.4h</t>
  </si>
  <si>
    <t>OPEN BACKLOG</t>
  </si>
  <si>
    <t>Open, Escalated or Pending</t>
  </si>
  <si>
    <t>TICKETS / 1k TXN</t>
  </si>
  <si>
    <t>portfolio friction rate</t>
  </si>
  <si>
    <t xml:space="preserve">  THE SLA POLICY FINDING — targets run inverse to actual workload</t>
  </si>
  <si>
    <t>Priority</t>
  </si>
  <si>
    <t>SLA Target (h)</t>
  </si>
  <si>
    <t>Median Resolution (h)</t>
  </si>
  <si>
    <t>Breaches</t>
  </si>
  <si>
    <t>Breach Rate</t>
  </si>
  <si>
    <t>Avg Breach (h)</t>
  </si>
  <si>
    <t>Open</t>
  </si>
  <si>
    <t>Share of All Breaches</t>
  </si>
  <si>
    <t>119</t>
  </si>
  <si>
    <t>High</t>
  </si>
  <si>
    <t>270</t>
  </si>
  <si>
    <t>Medium</t>
  </si>
  <si>
    <t>36</t>
  </si>
  <si>
    <t>454</t>
  </si>
  <si>
    <t>Low</t>
  </si>
  <si>
    <t>520</t>
  </si>
  <si>
    <t>Critical tickets are given a 12-hour SLA but take 52.7 hours on average — a 98.3% breach rate. Low-priority tickets are given 48 hours and take 11.3 — a 0.2% breach rate. The SLA ladder runs in the opposite direction to the actual workload, so 94.7% of all breaches land on High and Critical. This is a policy configuration problem, not a team performance problem: no amount of effort makes a 52-hour investigation fit a 12-hour target. Recommended action is to re-base the SLA on observed distributions (a 90th-percentile-compliant Critical SLA would be ~120h) or to resource high-priority work separately.</t>
  </si>
  <si>
    <t xml:space="preserve">  TICKET TYPE ANALYSIS</t>
  </si>
  <si>
    <t>Ticket Type</t>
  </si>
  <si>
    <t>Category</t>
  </si>
  <si>
    <t>Impact Area</t>
  </si>
  <si>
    <t>Median (h)</t>
  </si>
  <si>
    <t>Max (h)</t>
  </si>
  <si>
    <t>High Priority</t>
  </si>
  <si>
    <t>Total Breach Hours</t>
  </si>
  <si>
    <t>Voucher Not Received</t>
  </si>
  <si>
    <t>Fulfilment</t>
  </si>
  <si>
    <t>Customer Impacting</t>
  </si>
  <si>
    <t>253</t>
  </si>
  <si>
    <t>Pricing Query</t>
  </si>
  <si>
    <t>Commercial</t>
  </si>
  <si>
    <t>Merchant Impacting</t>
  </si>
  <si>
    <t>247</t>
  </si>
  <si>
    <t>Merchant Support</t>
  </si>
  <si>
    <t>234</t>
  </si>
  <si>
    <t>Reversal Query</t>
  </si>
  <si>
    <t>Financial</t>
  </si>
  <si>
    <t>Settlement Delay</t>
  </si>
  <si>
    <t>212</t>
  </si>
  <si>
    <t>Redemption Issue</t>
  </si>
  <si>
    <t>202</t>
  </si>
  <si>
    <t xml:space="preserve">  TICKET VOLUME BY MONTH AND PRIORITY</t>
  </si>
  <si>
    <t>YearMonth</t>
  </si>
  <si>
    <t>Total</t>
  </si>
  <si>
    <t xml:space="preserve">  OPERATIONAL FRICTION vs PERFORMANCE — and why the obvious reading is wrong</t>
  </si>
  <si>
    <t>Friction Quartile</t>
  </si>
  <si>
    <t>Merchants</t>
  </si>
  <si>
    <t>Avg Tickets/1k Txn</t>
  </si>
  <si>
    <t>Avg Growth</t>
  </si>
  <si>
    <t>Avg Target Attainment</t>
  </si>
  <si>
    <t>Avg Redemption %</t>
  </si>
  <si>
    <t>Avg Health Score</t>
  </si>
  <si>
    <t>Q1 lowest friction</t>
  </si>
  <si>
    <t>Q2</t>
  </si>
  <si>
    <t>Q3</t>
  </si>
  <si>
    <t>Q4 highest friction</t>
  </si>
  <si>
    <t>At first glance the highest-friction quartile does underperform: tickets per 1,000 transactions correlates with target attainment at r = -0.56. That reading is confounded. The ratio is strongly size-dependent — it correlates with log(total sales) at r = -0.83 — so small merchants look worse simply because the denominator is small. Controlling for size, the partial correlation falls to r = -0.20. SLA breach rate and average resolution time show no association with performance at all. The honest conclusion is that operational friction is not a portfolio-level predictor of merchant performance; the real signal is event-level, below.</t>
  </si>
  <si>
    <t xml:space="preserve">  TICKET SPIKE EVENTS — same signal, opposite diagnosis</t>
  </si>
  <si>
    <t>Prior Avg Tickets</t>
  </si>
  <si>
    <t>Ticket Uplift</t>
  </si>
  <si>
    <t>Sales vs Prior 3M</t>
  </si>
  <si>
    <t>52</t>
  </si>
  <si>
    <t>37</t>
  </si>
  <si>
    <t>Four events where a merchant's ticket volume more than doubled against its own prior three months. Durban Cash Hub spiked +780% in June and +184% in July while sales GREW 8.2% and 6.3% — a service problem at a healthy, growing account. Umhlanga Value Mart spiked +693% in July while sales fell 42.5% — a failing account. Identical operational signal, entirely different commercial diagnosis. This is why the alerting logic pairs ticket movement with sales movement rather than triggering on either alone.</t>
  </si>
  <si>
    <t>Anomalies &amp; Alerts</t>
  </si>
  <si>
    <t>Two independent detection layers: deterministic business rules, and an unsupervised Isolation Forest.</t>
  </si>
  <si>
    <t xml:space="preserve">  RULES-BASED ALERTS</t>
  </si>
  <si>
    <t>Alert Type</t>
  </si>
  <si>
    <t>Severity</t>
  </si>
  <si>
    <t>Detail</t>
  </si>
  <si>
    <t>Sales collapse</t>
  </si>
  <si>
    <t>Latest month sales -42.5% vs prior 3-month average</t>
  </si>
  <si>
    <t>Support ticket spike</t>
  </si>
  <si>
    <t>52 tickets in latest month, +184% vs prior 3-month average</t>
  </si>
  <si>
    <t>37 tickets in latest month, +693% vs prior 3-month average</t>
  </si>
  <si>
    <t>Flagged At Risk in CRM</t>
  </si>
  <si>
    <t>ActiveStatus = 'At Risk' in MerchantReference</t>
  </si>
  <si>
    <t xml:space="preserve">  ISOLATION FOREST — unsupervised anomaly detection</t>
  </si>
  <si>
    <t>Anomaly Score</t>
  </si>
  <si>
    <t>Sales vs Own History</t>
  </si>
  <si>
    <t>Tickets vs Own History</t>
  </si>
  <si>
    <t>Explanation</t>
  </si>
  <si>
    <t>sales -38% vs own history; tickets +594%; redemption -8.6%</t>
  </si>
  <si>
    <t>sales +68% vs own history</t>
  </si>
  <si>
    <t>tickets +450%; redemption -3.5%</t>
  </si>
  <si>
    <t>time-to-redeem +2.0 days; redemption -3.8%</t>
  </si>
  <si>
    <t>sales +50% vs own history</t>
  </si>
  <si>
    <t>tickets +686%; SLA breach +16%</t>
  </si>
  <si>
    <t>sales +44% vs own history</t>
  </si>
  <si>
    <t>tickets +333%; SLA breach +19%</t>
  </si>
  <si>
    <t>The model scored 150 merchant-months on seven features, each expressed as a deviation from that merchant's OWN history rather than an absolute value — without that, the model would simply flag the largest merchants every month. It flagged 8 observations at 5% contamination.
Validation: the dataset documentation states four patterns were deliberately embedded. The model was not told what they were, and independently recovered all four — Umhlanga Value Mart's July collapse (top-ranked), Kudu Digital Kiosk's May growth step, Durban Cash Hub's June ticket spike, and a Liberty Lane redemption-delay month. Every flagged row carries a plain-English explanation, because a score with no reason attached does not get acted on.</t>
  </si>
  <si>
    <t>Machine Learning Results</t>
  </si>
  <si>
    <t>Five models. Time-based validation splits throughout — never random — so the reported metrics hold for forward-looking use.</t>
  </si>
  <si>
    <t xml:space="preserve">  MODEL SUMMARY</t>
  </si>
  <si>
    <t>Model</t>
  </si>
  <si>
    <t>Algorithm</t>
  </si>
  <si>
    <t>Validation</t>
  </si>
  <si>
    <t>Headline metric</t>
  </si>
  <si>
    <t>Business use</t>
  </si>
  <si>
    <t>1. Anomaly detection</t>
  </si>
  <si>
    <t>Isolation Forest (400 trees)</t>
  </si>
  <si>
    <t>Unsupervised; validated against 4 documented embedded patterns</t>
  </si>
  <si>
    <t>8 anomalies from 150 obs</t>
  </si>
  <si>
    <t>Weekly exception list for account managers</t>
  </si>
  <si>
    <t>2. Redemption propensity</t>
  </si>
  <si>
    <t>HistGradientBoostingClassifier</t>
  </si>
  <si>
    <t>Time split: train Jan–May, test Jun–Jul</t>
  </si>
  <si>
    <t>AUC 0.620 (ceiling 0.621)</t>
  </si>
  <si>
    <t>Target follow-up at high non-redemption risk vouchers</t>
  </si>
  <si>
    <t>3. Resolution time</t>
  </si>
  <si>
    <t>HistGradientBoostingRegressor</t>
  </si>
  <si>
    <t>MAE 9.8h, 23% better than naive</t>
  </si>
  <si>
    <t>Triage: flag tickets likely to breach before they do</t>
  </si>
  <si>
    <t>4. Sales forecast</t>
  </si>
  <si>
    <t>Holt-Winters (weekly seasonality)</t>
  </si>
  <si>
    <t>Backtest on held-out final 30 days</t>
  </si>
  <si>
    <t>MAPE 4.69%, 50% better than naive</t>
  </si>
  <si>
    <t>30-day capacity and revenue planning</t>
  </si>
  <si>
    <t>5. Merchant segmentation</t>
  </si>
  <si>
    <t>K-Means (k=4)</t>
  </si>
  <si>
    <t>Silhouette 0.185 at k=4</t>
  </si>
  <si>
    <t>4 segments, 2 singleton outliers identified automatically</t>
  </si>
  <si>
    <t>Differentiated account management plays</t>
  </si>
  <si>
    <t xml:space="preserve">  REDEMPTION PROPENSITY — risk decile lift</t>
  </si>
  <si>
    <t>Risk Decile</t>
  </si>
  <si>
    <t>Vouchers</t>
  </si>
  <si>
    <t>Predicted Risk</t>
  </si>
  <si>
    <t>Actual Non-Redemption</t>
  </si>
  <si>
    <t>Lift vs Base</t>
  </si>
  <si>
    <t>Value at Risk</t>
  </si>
  <si>
    <t>An AUC of 0.620 looks weak in isolation, so it was tested against a ceiling. If redemption is generated purely as a function of voucher type, the best any model can achieve is the type-level base rate — an oracle scoring AUC 0.621. The model captures 99.8% of the achievable signal, so 0.620 is the practical ceiling of this dataset, not an underfit model. Establishing that distinction prevents a team spending a sprint chasing an AUC that cannot move.
The ranking remains operationally useful: the top risk decile has a 3.4x higher actual non-redemption rate than the bottom decile, concentrating R171,689 of value at risk into 10% of vouchers.</t>
  </si>
  <si>
    <t xml:space="preserve">  30-DAY SALES FORECAST</t>
  </si>
  <si>
    <t>Date</t>
  </si>
  <si>
    <t>Forecast</t>
  </si>
  <si>
    <t>Lower 80%</t>
  </si>
  <si>
    <t>Upper 80%</t>
  </si>
  <si>
    <t>Lower 95%</t>
  </si>
  <si>
    <t>Upper 95%</t>
  </si>
  <si>
    <t>Backtested on the held-out final 30 days: MAPE 4.69% against a naive last-7-day-mean baseline of 9.34% — a 50% improvement. Forecast total for the next 30 days is R10,302,972, +1.9% against the last 30 actual. Intervals are empirical, derived from in-sample residual standard deviation.</t>
  </si>
  <si>
    <t xml:space="preserve">  MERCHANT SEGMENTATION</t>
  </si>
  <si>
    <t>Segment</t>
  </si>
  <si>
    <t>Avg Sales</t>
  </si>
  <si>
    <t>Avg Redemption</t>
  </si>
  <si>
    <t>Avg Tickets/1k</t>
  </si>
  <si>
    <t>Avg Recent Momentum</t>
  </si>
  <si>
    <t>Stable core</t>
  </si>
  <si>
    <t>High-friction sub-scale</t>
  </si>
  <si>
    <t>Breakout growth</t>
  </si>
  <si>
    <t>Deteriorating - intervene now</t>
  </si>
  <si>
    <t>Silhouette analysis favours k=2 (score 0.433), but that produces a 21-vs-4 split with no operational value across only 25 merchants. k=4 was selected on business grounds — segments large enough to assign an owner, distinct enough to justify a different play — at a silhouette cost (0.185) that is stated rather than hidden.
Notably, the algorithm isolated two merchants into single-member clusters entirely on its own: Kudu Digital Kiosk (breakout growth) and Umhlanga Value Mart (deteriorating). That is a finding, not a defect — they are behaviourally unlike anything else in the book, which is exactly what the account team needs to know.</t>
  </si>
  <si>
    <t>Business Questions</t>
  </si>
  <si>
    <t>The five questions in section 6 of the brief. Every answer is computed from the gold layer — the SQL is in sql/02_business_questions.sql.</t>
  </si>
  <si>
    <t>Q1</t>
  </si>
  <si>
    <t>Which merchants generate the highest sales value and transaction volume?</t>
  </si>
  <si>
    <t>ANSWER</t>
  </si>
  <si>
    <t>Durban Cash Hub leads on both: R5,776,119 in sales (8.8% of the portfolio) and 45,371 transactions. The two rankings agree at the top, which is not guaranteed — a merchant can lead on value while trailing on volume if its basket is larger, so both are reported.
Concentration matters more than the leader: the top 5 merchants carry 35.4% of revenue and the top 10 carry 61.4%. 15 of 25 merchants account for 80% of sales.</t>
  </si>
  <si>
    <t>Which voucher type has the highest redemption rate?</t>
  </si>
  <si>
    <t>Airtime, at 92.8%. Gaming is lowest at 75.9% — a 16.9 percentage point spread.
The value-based redemption rate is almost identical to the volume-based rate within each type, which tells us high-value and low-value vouchers behave the same way. Time-to-redeem is also effectively flat across types (3.5–3.7 days), so the difference is whether customers redeem at all, not how quickly they do it. Gaming's 24% non-redemption represents the largest single block of outstanding liability.</t>
  </si>
  <si>
    <t>Which region shows declining sales or transaction behaviour?</t>
  </si>
  <si>
    <t>Eastern Cape, on four independent signals rather than one:
  •  it is the ONLY region that peaked before July (peak May 2026);
  •  it sits 9.8% below its own peak while every other region is AT its peak;
  •  its trend slope is +2.0% of average monthly sales against +4.4% to +8.5% elsewhere;
  •  June fell 12.2% month-on-month against +1.4% to +3.8% for every other region.
A single month's movement would not justify calling a decline. Four signals pointing the same way does.</t>
  </si>
  <si>
    <t>Q4</t>
  </si>
  <si>
    <t>Are ticket volumes, priority or long resolution times associated with weaker merchant performance?</t>
  </si>
  <si>
    <t>Not as a portfolio-level rule — but decisively at the level of individual events.
The tempting answer is that tickets per 1,000 transactions correlates with target attainment at r = -0.56, so friction hurts performance. That answer is confounded. The ratio is strongly size-dependent (r = -0.83 against log total sales), so small merchants look worse purely because the denominator is small. Controlling for size, the partial correlation collapses to r = -0.20. SLA breach rate and average resolution time show no association at all.
What IS real is event-level. Four months show a merchant's ticket volume more than doubling against its own history. Durban Cash Hub spiked +780% while sales GREW 8.2% — a service problem at a healthy account. Umhlanga Value Mart spiked +693% while sales fell 42.5% — a failing account. The same operational signal, opposite commercial diagnosis. Ticket spikes are worth investigating, but they do not predict revenue on their own.</t>
  </si>
  <si>
    <t>Q5</t>
  </si>
  <si>
    <t>Which merchants should management focus on first, and why?</t>
  </si>
  <si>
    <t>Ranked by revenue at risk, not by severity of decline — a 43% collapse at a small merchant costs less than a 6% slide at a large one, and ranking on percentage change alone sends the account team to the wrong door.
  1.  Umhlanga Value Mart (Free State) — health 17/100, latest month -42.5% vs prior 3-month average, R571,518 annualised revenue at risk, tickets +693%
  2.  Table Bay Express (Eastern Cape) — health 24/100, latest month -5.9% vs prior 3-month average, R354,163 annualised revenue at risk, tickets +29%
  3.  Mzansi Mini Market (Eastern Cape) — health 40/100, latest month -1.9% vs prior 3-month average, R87,169 annualised revenue at risk, tickets +100%
  4.  Pretoria PayPoint (Eastern Cape) — health 31/100, latest month -4.2% vs prior 3-month average, R154,045 annualised revenue at risk
  5.  Cape Point Cellular (Eastern Cape) — health 45/100, latest month -3.5% vs prior 3-month average, R48,626 annualised revenue at risk, tickets -53%</t>
  </si>
  <si>
    <t>Data Dictionary</t>
  </si>
  <si>
    <t>Gold layer star schema: 7 dimensions, 4 facts, 2 analytics marts, 1 SCD2 snapshot.</t>
  </si>
  <si>
    <t xml:space="preserve">  WHY FOURTEEN TABLES WHEN THE README SUGGESTS FIVE</t>
  </si>
  <si>
    <t>The supplied README suggests a 5-table model. This solution has 14. Five come straight from the README; four exist because the brief's own report requirements (voucher type performance, ticket priority, SLA risk, backlog) need somewhere to put those attributes; one is a grain necessity; and four are extensions I added on judgement and have labelled as such. Presenting all 14 as though the brief demanded them would be overselling it — the honest split is a 10-table core plus 4 extensions.</t>
  </si>
  <si>
    <t>Tier</t>
  </si>
  <si>
    <t>What it means</t>
  </si>
  <si>
    <t>Count</t>
  </si>
  <si>
    <t>Tables</t>
  </si>
  <si>
    <t>Supplied CSV</t>
  </si>
  <si>
    <t>Named in the README and supplied as a file</t>
  </si>
  <si>
    <t>dim_merchant, fct_merchant_sales, fct_support_tickets, fct_voucher_redemptions</t>
  </si>
  <si>
    <t>README-required</t>
  </si>
  <si>
    <t>Named in the README, no file — built here</t>
  </si>
  <si>
    <t>dim_date</t>
  </si>
  <si>
    <t>Brief deliverable</t>
  </si>
  <si>
    <t>Required by a stated deliverable</t>
  </si>
  <si>
    <t>dim_priority, dim_ticket_status, dim_ticket_type, dim_voucher_type</t>
  </si>
  <si>
    <t>Grain necessity</t>
  </si>
  <si>
    <t>Separate grain — additivity</t>
  </si>
  <si>
    <t>fct_merchant_target</t>
  </si>
  <si>
    <t>My extension</t>
  </si>
  <si>
    <t>Beyond the brief, added on judgement</t>
  </si>
  <si>
    <t>dim_merchant_history, mart_merchant_change_alerts, mart_merchant_scorecard, snap_merchant</t>
  </si>
  <si>
    <t>Table</t>
  </si>
  <si>
    <t>Rows</t>
  </si>
  <si>
    <t>Why it exists</t>
  </si>
  <si>
    <t>dim_merchant</t>
  </si>
  <si>
    <t>26</t>
  </si>
  <si>
    <t>README: DimMerchant from MerchantReference.csv. Conformed dimension — the single filter path for every fact. Carries an Unknown (-1) member so a future unmatched fact row lands somewhere visible instead of vanishing from every total.</t>
  </si>
  <si>
    <t>fct_merchant_sales</t>
  </si>
  <si>
    <t>26500</t>
  </si>
  <si>
    <t>README: FactMerchantSales from MerchantSales.csv. Grain Date x Merchant x VoucherType. Merchant/Region/Channel were DROPPED from the fact — profiling proved 100% agreement with MerchantReference, so keeping both would allow two competing versions of 'Region' in one model.</t>
  </si>
  <si>
    <t>fct_support_tickets</t>
  </si>
  <si>
    <t>1363</t>
  </si>
  <si>
    <t>README: FactSupportTickets from SupportTickets.csv. One row per ticket. sla_hours is stored ON the fact, not resolved from the priority dimension, so a future SLA policy change cannot retrospectively restate whether a historic ticket breached.</t>
  </si>
  <si>
    <t>fct_voucher_redemptions</t>
  </si>
  <si>
    <t>120969</t>
  </si>
  <si>
    <t>README: FactVoucherRedemptions from VoucherRedemptions.csv. Accumulating snapshot — one row per voucher, updated when the second event (redemption) occurs. Carries TWO date foreign keys: sold_date_key active, redeemed_date_key inactive. Without that split, late redemptions are attributed back to the month of sale and a backlog is invisible.</t>
  </si>
  <si>
    <t>365</t>
  </si>
  <si>
    <t>README: 'DimDate: candidate should create a proper date table'. This is the one table in the suggested model with NO source CSV — it is built, not loaded. Generated to full calendar-year boundaries rather than derived from the facts. Power BI time intelligence (DATEADD, SAMEPERIODLASTYEAR, TOTALYTD) does not error on a gapped calendar — it silently returns a wrong number. Contiguity is therefore tested, not assumed.</t>
  </si>
  <si>
    <t>dim_priority</t>
  </si>
  <si>
    <t>Brief section 5 requires 'ticket priority' and 'SLA risk'; section 4 requires an SLA breach indicator. Carries target_sla_hours plus observed median/P90 resolution time, and derives sla_is_achievable from them. This is what turns the headline operational finding into DATA rather than prose: Critical has a 12h target against a 74h P90, and the model says so in a sortable column.</t>
  </si>
  <si>
    <t>dim_ticket_status</t>
  </si>
  <si>
    <t>Brief section 5 requires ticket status and backlog visibility. Carries an explicit `ownership` attribute that splits the backlog into 'awaiting us' (146 tickets) and 'awaiting customer' (93). A single '239 open' figure conflates a capacity problem with a chase-the-customer problem — different remediation entirely.</t>
  </si>
  <si>
    <t>dim_ticket_type</t>
  </si>
  <si>
    <t>Brief section 5 requires ticket analysis on the Operational page. Adds category (Fulfilment / Financial / Commercial) and impact area (Customer vs Merchant impacting) — groupings that do not exist in the source but are how operations actually triage.</t>
  </si>
  <si>
    <t>dim_voucher_type</t>
  </si>
  <si>
    <t>Brief section 5 requires 'voucher type performance' on the Merchant page. Used by BOTH the sales fact and the redemption fact — the textbook definition of a conformed dimension. Also carries category and margin band, which do not exist in the source and are maintained as a dbt seed so the commercial team can change them without a code deployment.</t>
  </si>
  <si>
    <t>175</t>
  </si>
  <si>
    <t>Brief section 4 requires period comparison and a target measure; BaseMonthlySalesTarget is supplied on MerchantReference. Could have been an attribute on dim_merchant — but it is a MONTHLY measure while sales are DAILY. On the dimension it would re-count once per fact row. A separate fact at month grain, joined only through shared dimensions, is the standard Kimball answer to multi-grain reporting. 25 merchants x 7 months = 175 rows. Targets are pro-rated by days covered so a part-month never shows a false shortfall.</t>
  </si>
  <si>
    <t>dim_merchant_history</t>
  </si>
  <si>
    <t>NOT requested. The Type 2 face of snap_merchant. dim_merchant answers 'what is this merchant TODAY' and is what the semantic model joins to. This answers 'what was this merchant WHEN that fact happened'. Loading only Type 2 and forcing every query through a date-range join would be purer and practically worse; loading only Type 1 loses history permanently. Both, clearly labelled, is the workable answer.</t>
  </si>
  <si>
    <t>mart_merchant_change_alerts</t>
  </si>
  <si>
    <t>0</t>
  </si>
  <si>
    <t>NOT requested. Makes the snapshot actionable. Diffs consecutive snapshot versions and emits one row per changed field with a severity. A merchant moving to 'At Risk' is Critical; a re-based sales target is High, because it silently invalidates every period-over-period attainment comparison unless someone is told. Capturing history that nobody reads is not worth the storage — this is what makes the snapshot earn its place. Currently 0 rows: no change has occurred since first capture.</t>
  </si>
  <si>
    <t>mart_merchant_scorecard</t>
  </si>
  <si>
    <t>NOT requested. Drill-through target for the Merchant page and feature table for the ML layer. Holds the composite Health Score. Computed in SQL rather than DAX deliberately: it needs percentile ranking across the whole merchant population (expensive and awkward in DAX) and it must be byte-identical in Power BI, the Excel pack and the ML feature set. One definition in the warehouse is what keeps three artefacts agreeing.</t>
  </si>
  <si>
    <t>snap_merchant</t>
  </si>
  <si>
    <t>NOT requested. Added because MerchantReference is a current-state extract. Each load overwrites the last, so active_status, account_manager, region and target history is destroyed at source. Two merchants are currently flagged 'At Risk' — 'when did that change, and did performance decline before or after?' is otherwise unanswerable forever. Uses the `check` strategy because the source has no reliable last-modified column (OnboardedDate is when the merchant joined, not when the row was edited).</t>
  </si>
  <si>
    <t>THE FAIR CRITICISM, AND THE ANSWER — The fair criticism is that four dimensions of 4-6 rows each is over-normalisation, and some modellers would keep those as degenerate columns on the ticket fact. That was in fact the first design here — all three ticket dimensions unioned into one table behind a discriminator — and it was worse for two concrete reasons. The three foreign keys on fct_support_tickets could not be relationship-tested, because a test cannot distinguish 'priority_key resolves to a priority' from 'resolves to something, somewhere'. And Power BI cannot build three independent filter paths off one physical table without role-playing copies. Splitting them added 9 enforced foreign keys that previously could not exist.</t>
  </si>
  <si>
    <t xml:space="preserve">  COLUMN REFERENCE</t>
  </si>
  <si>
    <t>Column</t>
  </si>
  <si>
    <t>Type</t>
  </si>
  <si>
    <t>Role</t>
  </si>
  <si>
    <t>Definition</t>
  </si>
  <si>
    <t>date_key</t>
  </si>
  <si>
    <t>INT</t>
  </si>
  <si>
    <t>Surrogate</t>
  </si>
  <si>
    <t>yyyymmdd integer. Join key for every fact.</t>
  </si>
  <si>
    <t>date</t>
  </si>
  <si>
    <t>DATE</t>
  </si>
  <si>
    <t>Attribute</t>
  </si>
  <si>
    <t>Calendar date. Marked as Date Table in Power BI.</t>
  </si>
  <si>
    <t>year_month</t>
  </si>
  <si>
    <t>VARCHAR(7)</t>
  </si>
  <si>
    <t>yyyy-MM, used for monthly grouping.</t>
  </si>
  <si>
    <t>is_in_fact_window</t>
  </si>
  <si>
    <t>BIT</t>
  </si>
  <si>
    <t>Flag</t>
  </si>
  <si>
    <t>True for dates within the activity window (excludes the redemption tail).</t>
  </si>
  <si>
    <t>merchant_key</t>
  </si>
  <si>
    <t>VARCHAR(32)</t>
  </si>
  <si>
    <t>Hash surrogate key.</t>
  </si>
  <si>
    <t>merchant_id</t>
  </si>
  <si>
    <t>VARCHAR(10)</t>
  </si>
  <si>
    <t>Natural key</t>
  </si>
  <si>
    <t>Source key, format M0nn.</t>
  </si>
  <si>
    <t>region</t>
  </si>
  <si>
    <t>VARCHAR(50)</t>
  </si>
  <si>
    <t>5 SA provinces.</t>
  </si>
  <si>
    <t>channel</t>
  </si>
  <si>
    <t>Retail / Wholesale / Online / Agent Network.</t>
  </si>
  <si>
    <t>active_status</t>
  </si>
  <si>
    <t>VARCHAR(20)</t>
  </si>
  <si>
    <t>CRM lifecycle flag. Active (23) or At Risk (2).</t>
  </si>
  <si>
    <t>merchant_size_band</t>
  </si>
  <si>
    <t>Derived</t>
  </si>
  <si>
    <t>Quartile of realised sales, NOT of the supplied target (which is mis-calibrated).</t>
  </si>
  <si>
    <t>base_monthly_sales_target</t>
  </si>
  <si>
    <t>DECIMAL(18,2)</t>
  </si>
  <si>
    <t>As supplied. KNOWN ISSUE: ~6.1x below realised sales for every merchant.</t>
  </si>
  <si>
    <t>voucher_type</t>
  </si>
  <si>
    <t>Airtime / Electricity / Bill Payment / Groceries / Gaming.</t>
  </si>
  <si>
    <t>voucher_category</t>
  </si>
  <si>
    <t>Business grouping, maintained as a dbt seed.</t>
  </si>
  <si>
    <t>target_sla_hours</t>
  </si>
  <si>
    <t>SMALLINT</t>
  </si>
  <si>
    <t>CURRENT policy SLA. The fact stores the SLA in force when the ticket was raised.</t>
  </si>
  <si>
    <t>-</t>
  </si>
  <si>
    <t>GRAIN</t>
  </si>
  <si>
    <t>One row per Date x Merchant x VoucherType. 26,500 rows.</t>
  </si>
  <si>
    <t>sales_value</t>
  </si>
  <si>
    <t>Measure (additive)</t>
  </si>
  <si>
    <t>Gross voucher sales value in ZAR.</t>
  </si>
  <si>
    <t>transactions</t>
  </si>
  <si>
    <t>Transaction count.</t>
  </si>
  <si>
    <t>avg_basket_value</t>
  </si>
  <si>
    <t>DECIMAL(18,4)</t>
  </si>
  <si>
    <t>Measure (NON-additive)</t>
  </si>
  <si>
    <t>Row-level only. Aggregate as SUM(sales_value)/SUM(transactions), never as an average.</t>
  </si>
  <si>
    <t>One row per voucher (accumulating snapshot). 120,969 rows.</t>
  </si>
  <si>
    <t>sold_date_key</t>
  </si>
  <si>
    <t>FK (role-playing)</t>
  </si>
  <si>
    <t>ACTIVE relationship to dim_date. Issuance-cohort view.</t>
  </si>
  <si>
    <t>redeemed_date_key</t>
  </si>
  <si>
    <t>INT NULL</t>
  </si>
  <si>
    <t>INACTIVE relationship, activated via USERELATIONSHIP. Operational-throughput view.</t>
  </si>
  <si>
    <t>is_redeemed</t>
  </si>
  <si>
    <t>TRUE only if the Redeemed flag AND a valid non-retrograde date agree.</t>
  </si>
  <si>
    <t>days_to_redeem</t>
  </si>
  <si>
    <t>Measure</t>
  </si>
  <si>
    <t>NULL when unredeemed, so AVERAGE correctly excludes them.</t>
  </si>
  <si>
    <t>is_delayed_redemption</t>
  </si>
  <si>
    <t>Redeemed more than 7 days after sale. Threshold set once in dbt_project.yml.</t>
  </si>
  <si>
    <t>outstanding_value</t>
  </si>
  <si>
    <t>Unredeemed voucher value. A balance-sheet liability, not lost revenue.</t>
  </si>
  <si>
    <t>breakage_value</t>
  </si>
  <si>
    <t>Unredeemed AND beyond the 90-day expiry window.</t>
  </si>
  <si>
    <t>One row per ticket. 1,363 rows.</t>
  </si>
  <si>
    <t>resolution_hours</t>
  </si>
  <si>
    <t>DECIMAL(10,2)</t>
  </si>
  <si>
    <t>Hours to resolution. Right-skewed: mean 23.7, median 16.4, max 190.7.</t>
  </si>
  <si>
    <t>sla_hours</t>
  </si>
  <si>
    <t>SLA in force WHEN RAISED. Stored on the fact so a policy change cannot restate history.</t>
  </si>
  <si>
    <t>is_sla_breach</t>
  </si>
  <si>
    <t>resolution_hours &gt; sla_hours.</t>
  </si>
  <si>
    <t>One row per Month x Merchant (periodic snapshot). Coarser than the sales fact.</t>
  </si>
  <si>
    <t>monthly_sales_target</t>
  </si>
  <si>
    <t>Pro-rated by days covered so a part-month shows no false shortfall.</t>
  </si>
  <si>
    <t>health_score</t>
  </si>
  <si>
    <t>DECIMAL(5,1)</t>
  </si>
  <si>
    <t>0-100 weighted composite of 8 percentile-ranked components. See sheet 3.</t>
  </si>
  <si>
    <t>revenue_at_risk_annualised</t>
  </si>
  <si>
    <t>Annualised shortfall vs the merchant's own recent baseline.</t>
  </si>
  <si>
    <t>Assumptions, Data Issues &amp; Limitations</t>
  </si>
  <si>
    <t>Documented decisions. Anything that would change a conclusion is listed here.</t>
  </si>
  <si>
    <t xml:space="preserve">  DATA QUALITY FINDINGS</t>
  </si>
  <si>
    <t>Finding</t>
  </si>
  <si>
    <t>Detail and treatment</t>
  </si>
  <si>
    <t>Sales targets mis-calibrated</t>
  </si>
  <si>
    <t>BaseMonthlySalesTarget sits ~6.1x below realised sales for ALL 25 merchants, so raw target attainment reads 614%. The consistency across every merchant points to a basis or units error rather than genuine outperformance. The supplied value is retained unchanged for transparency; the report uses a relative Target Attainment Index (merchant attainment ÷ portfolio attainment) which is comparable across merchants and immune to the calibration error. Confirmation of the intended basis is the first question for the business.</t>
  </si>
  <si>
    <t>SLA thresholds inverted vs workload</t>
  </si>
  <si>
    <t>SLA targets run opposite to actual effort: Critical gets 12h but averages 52.7h; Low gets 48h and averages 11.3h. 94.7% of all breaches land on High and Critical. Treated as a genuine policy finding and reported as such, not corrected in the data.</t>
  </si>
  <si>
    <t>Redemption flag vs date</t>
  </si>
  <si>
    <t>0 records in the supplied data disagree between the Redeemed flag and RedeemedDate. The validation rule is still enforced in silver, and violations would be flagged rather than silently dropped — the headline redemption rate is too visible to leave unguarded.</t>
  </si>
  <si>
    <t>Referential integrity</t>
  </si>
  <si>
    <t>0 orphan MerchantIDs across all three facts. Fact-embedded Merchant/Region/Channel agree with MerchantReference in 100% of cases, so those columns were dropped from the facts losslessly.</t>
  </si>
  <si>
    <t>Redemption tail beyond the window</t>
  </si>
  <si>
    <t>RedeemedDate extends to 20 August 2026, past the 31 July sales cut-off. This is expected (a voucher sold on 31 July can be redeemed in August). The calendar SPANS these dates so the join works, but the reporting WINDOW is defined by activity dates only — without that separation, a partial August with no sales would drag down every period measure.</t>
  </si>
  <si>
    <t xml:space="preserve">  ASSUMPTIONS MADE</t>
  </si>
  <si>
    <t>Assumption</t>
  </si>
  <si>
    <t>Rationale</t>
  </si>
  <si>
    <t>Delayed redemption = &gt; 7 days</t>
  </si>
  <si>
    <t>No threshold was supplied. 7 days sits above the 75th percentile (5 days), so it flags a genuine tail rather than routine behaviour. Defined once in dbt_project.yml and inherited by the SQL, DAX and ML layers.</t>
  </si>
  <si>
    <t>Voucher expiry / breakage = 90 days</t>
  </si>
  <si>
    <t>No expiry rule was supplied. 90 days is a common voucher industry default. Affects the breakage measure only; the outstanding liability measure is unaffected.</t>
  </si>
  <si>
    <t>Targets pro-rated by days covered</t>
  </si>
  <si>
    <t>Every month in the window is complete, so the pro-rating factor is currently 1.0. The logic is in place so a mid-month refresh cannot produce a false shortfall.</t>
  </si>
  <si>
    <t>Support cost of R450/hour</t>
  </si>
  <si>
    <t>Used only in the indicative Ops Cost Exposure measure. Clearly flagged as an assumption; should be replaced with Finance's actual loaded rate before use.</t>
  </si>
  <si>
    <t>Voucher category and margin band</t>
  </si>
  <si>
    <t>Not present in the source. Maintained as a dbt seed so the commercial team can change the mapping without a code deployment.</t>
  </si>
  <si>
    <t>Health Score weights</t>
  </si>
  <si>
    <t>Chosen to prioritise recent momentum (25%) over structural trend (15%), because the operational purpose is early warning. Weights are declared in one place and are a business-tunable parameter, not a hidden constant.</t>
  </si>
  <si>
    <t xml:space="preserve">  LIMITATIONS</t>
  </si>
  <si>
    <t>Limitation</t>
  </si>
  <si>
    <t>Impact</t>
  </si>
  <si>
    <t>Seven months of data</t>
  </si>
  <si>
    <t>1 Jan – 31 Jul 2026. No year-on-year comparison is possible. The YoY measures are written and will work once a second year exists, but currently return BLANK by design rather than a misleading zero.</t>
  </si>
  <si>
    <t>No prior-year seasonality baseline</t>
  </si>
  <si>
    <t>The 4.69% forecast MAPE reflects weekly seasonality only. Annual seasonality (festive trading, school terms) cannot be modelled from seven months and would likely change the forecast materially for December.</t>
  </si>
  <si>
    <t>25 merchants limits statistical power</t>
  </si>
  <si>
    <t>Merchant-level correlations rest on n=25. This is why the ops-vs-performance analysis uses the 175-row merchant-month panel and partial correlation rather than resting on a single cross-sectional coefficient — and why the size confounder was tested for at all.</t>
  </si>
  <si>
    <t>Redemption model ceiling</t>
  </si>
  <si>
    <t>Redemption is generated almost purely from voucher type in this dataset, capping achievable AUC at ~0.62. On real data with customer-level features (tenure, prior redemption behaviour, channel), materially higher performance would be expected.</t>
  </si>
  <si>
    <t>Synthetic data</t>
  </si>
  <si>
    <t>All findings describe the supplied synthetic dataset. The embedded patterns were recovered independently by the anomaly model, which validates the METHOD; it does not validate the conclusions against real trading behaviour.</t>
  </si>
  <si>
    <t>Costs and margins absent</t>
  </si>
  <si>
    <t>Only revenue is supplied. Merchant profitability, and therefore true commercial prioritisation, cannot be assessed. Revenue at Risk is a revenue measure, not a margin measure.</t>
  </si>
</sst>
</file>

<file path=xl/styles.xml><?xml version="1.0" encoding="utf-8"?>
<styleSheet xmlns="http://schemas.openxmlformats.org/spreadsheetml/2006/main">
  <numFmts count="10">
    <numFmt numFmtId="164" formatCode="R #,##0"/>
    <numFmt numFmtId="165" formatCode="#,##0"/>
    <numFmt numFmtId="166" formatCode="0.0%"/>
    <numFmt numFmtId="167" formatCode="0.0"/>
    <numFmt numFmtId="168" formatCode="0.00"/>
    <numFmt numFmtId="169" formatCode="+0.0%;-0.0%;0.0%"/>
    <numFmt numFmtId="170" formatCode="R #,##0.00"/>
    <numFmt numFmtId="171" formatCode="#,##0.00"/>
    <numFmt numFmtId="172" formatCode="0.00%"/>
    <numFmt numFmtId="173" formatCode="yyyy-mm-dd"/>
  </numFmts>
  <fonts count="18">
    <font>
      <sz val="11"/>
      <color theme="1"/>
      <name val="Calibri"/>
      <family val="2"/>
      <scheme val="minor"/>
    </font>
    <font>
      <b/>
      <sz val="22"/>
      <color rgb="FF12305B"/>
      <name val="Calibri Light"/>
      <family val="2"/>
    </font>
    <font>
      <i/>
      <sz val="11"/>
      <color rgb="FF5A6672"/>
      <name val="Calibri"/>
      <family val="2"/>
      <scheme val="minor"/>
    </font>
    <font>
      <b/>
      <sz val="14"/>
      <color rgb="FFFFFFFF"/>
      <name val="Calibri"/>
      <family val="2"/>
      <scheme val="minor"/>
    </font>
    <font>
      <b/>
      <sz val="10"/>
      <color theme="1"/>
      <name val="Calibri"/>
      <family val="2"/>
      <scheme val="minor"/>
    </font>
    <font>
      <sz val="10"/>
      <color theme="1"/>
      <name val="Calibri"/>
      <family val="2"/>
      <scheme val="minor"/>
    </font>
    <font>
      <i/>
      <sz val="9"/>
      <color rgb="FF5A6672"/>
      <name val="Calibri"/>
      <family val="2"/>
      <scheme val="minor"/>
    </font>
    <font>
      <sz val="9"/>
      <color rgb="FFFFFFFF"/>
      <name val="Calibri"/>
      <family val="2"/>
      <scheme val="minor"/>
    </font>
    <font>
      <sz val="9"/>
      <color rgb="FF3D2B00"/>
      <name val="Calibri"/>
      <family val="2"/>
      <scheme val="minor"/>
    </font>
    <font>
      <b/>
      <sz val="18"/>
      <color rgb="FFFFFFFF"/>
      <name val="Calibri"/>
      <family val="2"/>
      <scheme val="minor"/>
    </font>
    <font>
      <b/>
      <sz val="18"/>
      <color rgb="FF3D2B00"/>
      <name val="Calibri"/>
      <family val="2"/>
      <scheme val="minor"/>
    </font>
    <font>
      <sz val="8"/>
      <color rgb="FFB9C7DA"/>
      <name val="Calibri"/>
      <family val="2"/>
      <scheme val="minor"/>
    </font>
    <font>
      <sz val="8"/>
      <color rgb="FFCDEBEB"/>
      <name val="Calibri"/>
      <family val="2"/>
      <scheme val="minor"/>
    </font>
    <font>
      <sz val="8"/>
      <color rgb="FF5C4200"/>
      <name val="Calibri"/>
      <family val="2"/>
      <scheme val="minor"/>
    </font>
    <font>
      <b/>
      <sz val="10"/>
      <color rgb="FFFFFFFF"/>
      <name val="Calibri"/>
      <family val="2"/>
      <scheme val="minor"/>
    </font>
    <font>
      <b/>
      <sz val="11"/>
      <color rgb="FF12305B"/>
      <name val="Calibri"/>
      <family val="2"/>
      <scheme val="minor"/>
    </font>
    <font>
      <b/>
      <sz val="13"/>
      <color rgb="FFFFFFFF"/>
      <name val="Calibri"/>
      <family val="2"/>
      <scheme val="minor"/>
    </font>
    <font>
      <b/>
      <sz val="9"/>
      <color rgb="FF5A6672"/>
      <name val="Calibri"/>
      <family val="2"/>
      <scheme val="minor"/>
    </font>
  </fonts>
  <fills count="7">
    <fill>
      <patternFill patternType="none"/>
    </fill>
    <fill>
      <patternFill patternType="gray125"/>
    </fill>
    <fill>
      <patternFill patternType="solid">
        <fgColor rgb="FF12305B"/>
        <bgColor indexed="64"/>
      </patternFill>
    </fill>
    <fill>
      <patternFill patternType="solid">
        <fgColor rgb="FF0E8B8B"/>
        <bgColor indexed="64"/>
      </patternFill>
    </fill>
    <fill>
      <patternFill patternType="solid">
        <fgColor rgb="FFE8A317"/>
        <bgColor indexed="64"/>
      </patternFill>
    </fill>
    <fill>
      <patternFill patternType="solid">
        <fgColor rgb="FFF7FAFC"/>
        <bgColor indexed="64"/>
      </patternFill>
    </fill>
    <fill>
      <patternFill patternType="solid">
        <fgColor rgb="FFEEF3F9"/>
        <bgColor indexed="64"/>
      </patternFill>
    </fill>
  </fills>
  <borders count="13">
    <border>
      <left/>
      <right/>
      <top/>
      <bottom/>
      <diagonal/>
    </border>
    <border>
      <left style="thin">
        <color rgb="FFD6DEE8"/>
      </left>
      <right style="thin">
        <color rgb="FFD6DEE8"/>
      </right>
      <top style="thin">
        <color rgb="FFD6DEE8"/>
      </top>
      <bottom style="thin">
        <color rgb="FFD6DEE8"/>
      </bottom>
      <diagonal/>
    </border>
    <border>
      <left style="medium">
        <color rgb="FF12305B"/>
      </left>
      <right style="medium">
        <color rgb="FF12305B"/>
      </right>
      <top style="medium">
        <color rgb="FF12305B"/>
      </top>
      <bottom/>
      <diagonal/>
    </border>
    <border>
      <left style="medium">
        <color rgb="FF0E8B8B"/>
      </left>
      <right style="medium">
        <color rgb="FF0E8B8B"/>
      </right>
      <top style="medium">
        <color rgb="FF0E8B8B"/>
      </top>
      <bottom/>
      <diagonal/>
    </border>
    <border>
      <left style="medium">
        <color rgb="FFE8A317"/>
      </left>
      <right style="medium">
        <color rgb="FFE8A317"/>
      </right>
      <top style="medium">
        <color rgb="FFE8A317"/>
      </top>
      <bottom/>
      <diagonal/>
    </border>
    <border>
      <left style="medium">
        <color rgb="FF12305B"/>
      </left>
      <right style="medium">
        <color rgb="FF12305B"/>
      </right>
      <top/>
      <bottom/>
      <diagonal/>
    </border>
    <border>
      <left style="medium">
        <color rgb="FF0E8B8B"/>
      </left>
      <right style="medium">
        <color rgb="FF0E8B8B"/>
      </right>
      <top/>
      <bottom/>
      <diagonal/>
    </border>
    <border>
      <left style="medium">
        <color rgb="FFE8A317"/>
      </left>
      <right style="medium">
        <color rgb="FFE8A317"/>
      </right>
      <top/>
      <bottom/>
      <diagonal/>
    </border>
    <border>
      <left style="medium">
        <color rgb="FF12305B"/>
      </left>
      <right style="medium">
        <color rgb="FF12305B"/>
      </right>
      <top/>
      <bottom style="medium">
        <color rgb="FF12305B"/>
      </bottom>
      <diagonal/>
    </border>
    <border>
      <left style="medium">
        <color rgb="FF0E8B8B"/>
      </left>
      <right style="medium">
        <color rgb="FF0E8B8B"/>
      </right>
      <top/>
      <bottom style="medium">
        <color rgb="FF0E8B8B"/>
      </bottom>
      <diagonal/>
    </border>
    <border>
      <left style="medium">
        <color rgb="FFE8A317"/>
      </left>
      <right style="medium">
        <color rgb="FFE8A317"/>
      </right>
      <top/>
      <bottom style="medium">
        <color rgb="FFE8A317"/>
      </bottom>
      <diagonal/>
    </border>
    <border>
      <left style="thin">
        <color rgb="FFFFFFFF"/>
      </left>
      <right style="thin">
        <color rgb="FFFFFFFF"/>
      </right>
      <top style="thin">
        <color rgb="FFFFFFFF"/>
      </top>
      <bottom style="thin">
        <color rgb="FFFFFFFF"/>
      </bottom>
      <diagonal/>
    </border>
    <border>
      <left/>
      <right/>
      <top/>
      <bottom style="medium">
        <color rgb="FF0E8B8B"/>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indent="1"/>
    </xf>
    <xf numFmtId="0" fontId="4" fillId="0" borderId="1" xfId="0" applyFont="1" applyBorder="1"/>
    <xf numFmtId="0" fontId="5" fillId="0" borderId="1" xfId="0" applyFont="1" applyBorder="1" applyAlignment="1">
      <alignment vertical="top" wrapText="1"/>
    </xf>
    <xf numFmtId="0" fontId="5" fillId="0" borderId="1" xfId="0" applyFont="1" applyBorder="1"/>
    <xf numFmtId="0" fontId="6" fillId="0" borderId="0" xfId="0" applyFont="1" applyAlignment="1">
      <alignment vertical="top" wrapText="1"/>
    </xf>
    <xf numFmtId="0" fontId="7" fillId="2" borderId="2" xfId="0" applyFont="1" applyFill="1" applyBorder="1" applyAlignment="1">
      <alignment horizontal="center"/>
    </xf>
    <xf numFmtId="0" fontId="7" fillId="3" borderId="3" xfId="0" applyFont="1" applyFill="1" applyBorder="1" applyAlignment="1">
      <alignment horizontal="center"/>
    </xf>
    <xf numFmtId="0" fontId="8" fillId="4" borderId="4" xfId="0" applyFont="1" applyFill="1" applyBorder="1" applyAlignment="1">
      <alignment horizontal="center"/>
    </xf>
    <xf numFmtId="164" fontId="9" fillId="2" borderId="5" xfId="0" applyNumberFormat="1" applyFont="1" applyFill="1" applyBorder="1" applyAlignment="1">
      <alignment horizontal="center" vertical="center"/>
    </xf>
    <xf numFmtId="165" fontId="9" fillId="2" borderId="5" xfId="0" applyNumberFormat="1" applyFont="1" applyFill="1" applyBorder="1" applyAlignment="1">
      <alignment horizontal="center" vertical="center"/>
    </xf>
    <xf numFmtId="166" fontId="9" fillId="3" borderId="6" xfId="0" applyNumberFormat="1" applyFont="1" applyFill="1" applyBorder="1" applyAlignment="1">
      <alignment horizontal="center" vertical="center"/>
    </xf>
    <xf numFmtId="167" fontId="9" fillId="3" borderId="6" xfId="0" applyNumberFormat="1" applyFont="1" applyFill="1" applyBorder="1" applyAlignment="1">
      <alignment horizontal="center" vertical="center"/>
    </xf>
    <xf numFmtId="166" fontId="10" fillId="4" borderId="7" xfId="0" applyNumberFormat="1" applyFont="1" applyFill="1" applyBorder="1" applyAlignment="1">
      <alignment horizontal="center" vertical="center"/>
    </xf>
    <xf numFmtId="0" fontId="11" fillId="2" borderId="8" xfId="0" applyFont="1" applyFill="1" applyBorder="1" applyAlignment="1">
      <alignment horizontal="center" vertical="top"/>
    </xf>
    <xf numFmtId="0" fontId="12" fillId="3" borderId="9" xfId="0" applyFont="1" applyFill="1" applyBorder="1" applyAlignment="1">
      <alignment horizontal="center" vertical="top"/>
    </xf>
    <xf numFmtId="0" fontId="13" fillId="4" borderId="10" xfId="0" applyFont="1" applyFill="1" applyBorder="1" applyAlignment="1">
      <alignment horizontal="center" vertical="top"/>
    </xf>
    <xf numFmtId="168" fontId="9" fillId="3" borderId="6" xfId="0" applyNumberFormat="1" applyFont="1" applyFill="1" applyBorder="1" applyAlignment="1">
      <alignment horizontal="center" vertical="center"/>
    </xf>
    <xf numFmtId="165" fontId="10" fillId="4" borderId="7" xfId="0" applyNumberFormat="1" applyFont="1" applyFill="1" applyBorder="1" applyAlignment="1">
      <alignment horizontal="center" vertical="center"/>
    </xf>
    <xf numFmtId="164" fontId="10" fillId="4" borderId="7" xfId="0" applyNumberFormat="1" applyFont="1" applyFill="1" applyBorder="1" applyAlignment="1">
      <alignment horizontal="center" vertical="center"/>
    </xf>
    <xf numFmtId="0" fontId="14" fillId="3" borderId="11" xfId="0" applyFont="1" applyFill="1" applyBorder="1" applyAlignment="1">
      <alignment horizontal="center" vertical="center" wrapText="1"/>
    </xf>
    <xf numFmtId="164" fontId="5" fillId="0" borderId="1" xfId="0" applyNumberFormat="1" applyFont="1" applyBorder="1"/>
    <xf numFmtId="165" fontId="5" fillId="0" borderId="1" xfId="0" applyNumberFormat="1" applyFont="1" applyBorder="1"/>
    <xf numFmtId="169" fontId="5" fillId="0" borderId="1" xfId="0" applyNumberFormat="1" applyFont="1" applyBorder="1"/>
    <xf numFmtId="170" fontId="5" fillId="0" borderId="1" xfId="0" applyNumberFormat="1" applyFont="1" applyBorder="1"/>
    <xf numFmtId="166" fontId="5" fillId="0" borderId="1" xfId="0" applyNumberFormat="1" applyFont="1" applyBorder="1"/>
    <xf numFmtId="171" fontId="5" fillId="0" borderId="1" xfId="0" applyNumberFormat="1" applyFont="1" applyBorder="1"/>
    <xf numFmtId="0" fontId="5" fillId="5" borderId="1" xfId="0" applyFont="1" applyFill="1" applyBorder="1"/>
    <xf numFmtId="172" fontId="5" fillId="0" borderId="1" xfId="0" applyNumberFormat="1" applyFont="1" applyBorder="1"/>
    <xf numFmtId="0" fontId="15" fillId="0" borderId="12" xfId="0" applyFont="1" applyBorder="1"/>
    <xf numFmtId="173" fontId="5" fillId="0" borderId="1" xfId="0" applyNumberFormat="1" applyFont="1" applyBorder="1"/>
    <xf numFmtId="0" fontId="16" fillId="3" borderId="0" xfId="0" applyFont="1" applyFill="1" applyAlignment="1">
      <alignment horizontal="center" vertical="center"/>
    </xf>
    <xf numFmtId="0" fontId="15" fillId="6" borderId="0" xfId="0" applyFont="1" applyFill="1" applyAlignment="1">
      <alignment vertical="center" wrapText="1"/>
    </xf>
    <xf numFmtId="0" fontId="0" fillId="6" borderId="0" xfId="0" applyFill="1"/>
    <xf numFmtId="0" fontId="17" fillId="0" borderId="1" xfId="0" applyFont="1" applyBorder="1" applyAlignment="1">
      <alignment vertical="top"/>
    </xf>
  </cellXfs>
  <cellStyles count="1">
    <cellStyle name="Normal" xfId="0" builtinId="0"/>
  </cellStyles>
  <dxfs count="3">
    <dxf>
      <font>
        <b/>
        <color rgb="FF922B21"/>
      </font>
      <numFmt numFmtId="174" formatCode="+0.0%;-0.0%"/>
      <fill>
        <patternFill>
          <bgColor rgb="FFF9D6D5"/>
        </patternFill>
      </fill>
      <border>
        <left style="thin">
          <color rgb="FFD6DEE8"/>
        </left>
        <right style="thin">
          <color rgb="FFD6DEE8"/>
        </right>
        <top style="thin">
          <color rgb="FFD6DEE8"/>
        </top>
        <bottom style="thin">
          <color rgb="FFD6DEE8"/>
        </bottom>
        <vertical/>
        <horizontal/>
      </border>
    </dxf>
    <dxf>
      <font>
        <b/>
        <color rgb="FF9C640C"/>
      </font>
      <numFmt numFmtId="174" formatCode="+0.0%;-0.0%"/>
      <fill>
        <patternFill>
          <bgColor rgb="FFFDEBD0"/>
        </patternFill>
      </fill>
      <border>
        <left style="thin">
          <color rgb="FFD6DEE8"/>
        </left>
        <right style="thin">
          <color rgb="FFD6DEE8"/>
        </right>
        <top style="thin">
          <color rgb="FFD6DEE8"/>
        </top>
        <bottom style="thin">
          <color rgb="FFD6DEE8"/>
        </bottom>
        <vertical/>
        <horizontal/>
      </border>
    </dxf>
    <dxf>
      <font>
        <b/>
        <color rgb="FF922B21"/>
      </font>
      <fill>
        <patternFill>
          <bgColor rgb="FFF9D6D5"/>
        </patternFill>
      </fill>
      <border>
        <left style="thin">
          <color rgb="FFD6DEE8"/>
        </left>
        <right style="thin">
          <color rgb="FFD6DEE8"/>
        </right>
        <top style="thin">
          <color rgb="FFD6DEE8"/>
        </top>
        <bottom style="thin">
          <color rgb="FFD6DEE8"/>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2305B"/>
                </a:solidFill>
              </a:defRPr>
            </a:pPr>
            <a:r>
              <a:rPr lang="en-US" sz="1200" b="1" baseline="0">
                <a:solidFill>
                  <a:srgbClr val="12305B"/>
                </a:solidFill>
              </a:rPr>
              <a:t>Monthly sales value and transaction volume</a:t>
            </a:r>
          </a:p>
        </c:rich>
      </c:tx>
      <c:layout/>
    </c:title>
    <c:plotArea>
      <c:layout/>
      <c:barChart>
        <c:barDir val="col"/>
        <c:grouping val="clustered"/>
        <c:ser>
          <c:idx val="0"/>
          <c:order val="0"/>
          <c:tx>
            <c:v>Sales Value</c:v>
          </c:tx>
          <c:spPr>
            <a:solidFill>
              <a:srgbClr val="0E8B8B"/>
            </a:solidFill>
            <a:ln>
              <a:noFill/>
            </a:ln>
          </c:spPr>
          <c:dLbls>
            <c:numFmt formatCode="R #,##0,,&quot;m&quot;" sourceLinked="0"/>
            <c:txPr>
              <a:bodyPr/>
              <a:lstStyle/>
              <a:p>
                <a:pPr>
                  <a:defRPr sz="800" baseline="0">
                    <a:solidFill>
                      <a:srgbClr val="5A6672"/>
                    </a:solidFill>
                  </a:defRPr>
                </a:pPr>
                <a:endParaRPr lang="en-US"/>
              </a:p>
            </c:txPr>
            <c:showVal val="1"/>
          </c:dLbls>
          <c:cat>
            <c:strRef>
              <c:f>'2. Executive Summary'!$B$18:$B$24</c:f>
              <c:strCache>
                <c:ptCount val="7"/>
                <c:pt idx="0">
                  <c:v>2026-01</c:v>
                </c:pt>
                <c:pt idx="1">
                  <c:v>2026-02</c:v>
                </c:pt>
                <c:pt idx="2">
                  <c:v>2026-03</c:v>
                </c:pt>
                <c:pt idx="3">
                  <c:v>2026-04</c:v>
                </c:pt>
                <c:pt idx="4">
                  <c:v>2026-05</c:v>
                </c:pt>
                <c:pt idx="5">
                  <c:v>2026-06</c:v>
                </c:pt>
                <c:pt idx="6">
                  <c:v>2026-07</c:v>
                </c:pt>
              </c:strCache>
            </c:strRef>
          </c:cat>
          <c:val>
            <c:numRef>
              <c:f>'2. Executive Summary'!$C$18:$C$24</c:f>
              <c:numCache>
                <c:formatCode>General</c:formatCode>
                <c:ptCount val="7"/>
                <c:pt idx="0">
                  <c:v>8163258.770000012</c:v>
                </c:pt>
                <c:pt idx="1">
                  <c:v>7914804.790000017</c:v>
                </c:pt>
                <c:pt idx="2">
                  <c:v>9261644.49</c:v>
                </c:pt>
                <c:pt idx="3">
                  <c:v>9415908.869999986</c:v>
                </c:pt>
                <c:pt idx="4">
                  <c:v>10111925.89999999</c:v>
                </c:pt>
                <c:pt idx="5">
                  <c:v>10186806.44000001</c:v>
                </c:pt>
                <c:pt idx="6">
                  <c:v>10466949.48999998</c:v>
                </c:pt>
              </c:numCache>
            </c:numRef>
          </c:val>
        </c:ser>
        <c:axId val="50010001"/>
        <c:axId val="50010002"/>
      </c:barChart>
      <c:lineChart>
        <c:grouping val="standard"/>
        <c:ser>
          <c:idx val="1"/>
          <c:order val="1"/>
          <c:tx>
            <c:v>Transactions</c:v>
          </c:tx>
          <c:spPr>
            <a:ln w="31750">
              <a:solidFill>
                <a:srgbClr val="E8A317"/>
              </a:solidFill>
            </a:ln>
          </c:spPr>
          <c:marker>
            <c:symbol val="circle"/>
            <c:size val="6"/>
            <c:spPr>
              <a:solidFill>
                <a:srgbClr val="E8A317"/>
              </a:solidFill>
            </c:spPr>
          </c:marker>
          <c:cat>
            <c:strRef>
              <c:f>'2. Executive Summary'!$B$18:$B$24</c:f>
              <c:strCache>
                <c:ptCount val="7"/>
                <c:pt idx="0">
                  <c:v>2026-01</c:v>
                </c:pt>
                <c:pt idx="1">
                  <c:v>2026-02</c:v>
                </c:pt>
                <c:pt idx="2">
                  <c:v>2026-03</c:v>
                </c:pt>
                <c:pt idx="3">
                  <c:v>2026-04</c:v>
                </c:pt>
                <c:pt idx="4">
                  <c:v>2026-05</c:v>
                </c:pt>
                <c:pt idx="5">
                  <c:v>2026-06</c:v>
                </c:pt>
                <c:pt idx="6">
                  <c:v>2026-07</c:v>
                </c:pt>
              </c:strCache>
            </c:strRef>
          </c:cat>
          <c:val>
            <c:numRef>
              <c:f>'2. Executive Summary'!$D$18:$D$24</c:f>
              <c:numCache>
                <c:formatCode>General</c:formatCode>
                <c:ptCount val="7"/>
                <c:pt idx="0">
                  <c:v>63581</c:v>
                </c:pt>
                <c:pt idx="1">
                  <c:v>62058</c:v>
                </c:pt>
                <c:pt idx="2">
                  <c:v>72488</c:v>
                </c:pt>
                <c:pt idx="3">
                  <c:v>74021</c:v>
                </c:pt>
                <c:pt idx="4">
                  <c:v>79228</c:v>
                </c:pt>
                <c:pt idx="5">
                  <c:v>78445</c:v>
                </c:pt>
                <c:pt idx="6">
                  <c:v>80306</c:v>
                </c:pt>
              </c:numCache>
            </c:numRef>
          </c:val>
        </c:ser>
        <c:marker val="1"/>
        <c:axId val="60010001"/>
        <c:axId val="6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spPr>
            <a:ln>
              <a:solidFill>
                <a:srgbClr val="E4EAF2"/>
              </a:solidFill>
            </a:ln>
          </c:spPr>
        </c:majorGridlines>
        <c:title>
          <c:tx>
            <c:rich>
              <a:bodyPr/>
              <a:lstStyle/>
              <a:p>
                <a:pPr>
                  <a:defRPr/>
                </a:pPr>
                <a:r>
                  <a:rPr lang="en-US"/>
                  <a:t>Sales value (R)</a:t>
                </a:r>
              </a:p>
            </c:rich>
          </c:tx>
          <c:layout/>
        </c:title>
        <c:numFmt formatCode="R #,##0,,&quot;m&quot;" sourceLinked="0"/>
        <c:tickLblPos val="nextTo"/>
        <c:crossAx val="50010001"/>
        <c:crosses val="autoZero"/>
        <c:crossBetween val="between"/>
      </c:valAx>
      <c:valAx>
        <c:axId val="60010002"/>
        <c:scaling>
          <c:orientation val="minMax"/>
        </c:scaling>
        <c:axPos val="r"/>
        <c:numFmt formatCode="General" sourceLinked="1"/>
        <c:tickLblPos val="nextTo"/>
        <c:crossAx val="60010001"/>
        <c:crosses val="max"/>
        <c:crossBetween val="between"/>
      </c:valAx>
      <c:catAx>
        <c:axId val="60010001"/>
        <c:scaling>
          <c:orientation val="minMax"/>
        </c:scaling>
        <c:delete val="1"/>
        <c:axPos val="b"/>
        <c:tickLblPos val="none"/>
        <c:crossAx val="60010002"/>
        <c:crosses val="autoZero"/>
        <c:auto val="1"/>
        <c:lblAlgn val="ctr"/>
        <c:lblOffset val="100"/>
      </c:cat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2305B"/>
                </a:solidFill>
              </a:defRPr>
            </a:pPr>
            <a:r>
              <a:rPr lang="en-US" sz="1200" b="1" baseline="0">
                <a:solidFill>
                  <a:srgbClr val="12305B"/>
                </a:solidFill>
              </a:rPr>
              <a:t>Share of sales by region</a:t>
            </a:r>
          </a:p>
        </c:rich>
      </c:tx>
      <c:layout/>
    </c:title>
    <c:plotArea>
      <c:layout/>
      <c:doughnutChart>
        <c:varyColors val="1"/>
        <c:ser>
          <c:idx val="0"/>
          <c:order val="0"/>
          <c:tx>
            <c:v>Sales by region</c:v>
          </c:tx>
          <c:dPt>
            <c:idx val="0"/>
            <c:spPr>
              <a:solidFill>
                <a:srgbClr val="12305B"/>
              </a:solidFill>
            </c:spPr>
          </c:dPt>
          <c:dPt>
            <c:idx val="1"/>
            <c:spPr>
              <a:solidFill>
                <a:srgbClr val="0E8B8B"/>
              </a:solidFill>
            </c:spPr>
          </c:dPt>
          <c:dPt>
            <c:idx val="2"/>
            <c:spPr>
              <a:solidFill>
                <a:srgbClr val="E8A317"/>
              </a:solidFill>
            </c:spPr>
          </c:dPt>
          <c:dPt>
            <c:idx val="3"/>
            <c:spPr>
              <a:solidFill>
                <a:srgbClr val="7B4B94"/>
              </a:solidFill>
            </c:spPr>
          </c:dPt>
          <c:dPt>
            <c:idx val="4"/>
            <c:spPr>
              <a:solidFill>
                <a:srgbClr val="C0392B"/>
              </a:solidFill>
            </c:spPr>
          </c:dPt>
          <c:dLbls>
            <c:txPr>
              <a:bodyPr/>
              <a:lstStyle/>
              <a:p>
                <a:pPr>
                  <a:defRPr sz="900" b="1" baseline="0">
                    <a:solidFill>
                      <a:srgbClr val="FFFFFF"/>
                    </a:solidFill>
                  </a:defRPr>
                </a:pPr>
                <a:endParaRPr lang="en-US"/>
              </a:p>
            </c:txPr>
            <c:showPercent val="1"/>
          </c:dLbls>
          <c:cat>
            <c:strRef>
              <c:f>'2. Executive Summary'!$B$47:$B$51</c:f>
              <c:strCache>
                <c:ptCount val="5"/>
                <c:pt idx="0">
                  <c:v>Free State</c:v>
                </c:pt>
                <c:pt idx="1">
                  <c:v>Gauteng</c:v>
                </c:pt>
                <c:pt idx="2">
                  <c:v>Western Cape</c:v>
                </c:pt>
                <c:pt idx="3">
                  <c:v>KwaZulu-Natal</c:v>
                </c:pt>
                <c:pt idx="4">
                  <c:v>Eastern Cape</c:v>
                </c:pt>
              </c:strCache>
            </c:strRef>
          </c:cat>
          <c:val>
            <c:numRef>
              <c:f>'2. Executive Summary'!$C$47:$C$51</c:f>
              <c:numCache>
                <c:formatCode>General</c:formatCode>
                <c:ptCount val="5"/>
                <c:pt idx="0">
                  <c:v>18009802.27</c:v>
                </c:pt>
                <c:pt idx="1">
                  <c:v>16145480.69999999</c:v>
                </c:pt>
                <c:pt idx="2">
                  <c:v>13068297.25</c:v>
                </c:pt>
                <c:pt idx="3">
                  <c:v>9516588.939999999</c:v>
                </c:pt>
                <c:pt idx="4">
                  <c:v>8781129.59</c:v>
                </c:pt>
              </c:numCache>
            </c:numRef>
          </c:val>
        </c:ser>
        <c:firstSliceAng val="0"/>
        <c:holeSize val="55"/>
      </c:doughnutChart>
    </c:plotArea>
    <c:legend>
      <c:legendPos val="r"/>
      <c:layout/>
      <c:txPr>
        <a:bodyPr/>
        <a:lstStyle/>
        <a:p>
          <a:pPr rtl="0">
            <a:defRPr/>
          </a:pPr>
          <a:endParaRPr lang="en-US"/>
        </a:p>
      </c:txPr>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2305B"/>
                </a:solidFill>
              </a:defRPr>
            </a:pPr>
            <a:r>
              <a:rPr lang="en-US" sz="1200" b="1" baseline="0">
                <a:solidFill>
                  <a:srgbClr val="12305B"/>
                </a:solidFill>
              </a:rPr>
              <a:t>Redemption rate by voucher type</a:t>
            </a:r>
          </a:p>
        </c:rich>
      </c:tx>
      <c:layout/>
    </c:title>
    <c:plotArea>
      <c:layout/>
      <c:barChart>
        <c:barDir val="bar"/>
        <c:grouping val="clustered"/>
        <c:ser>
          <c:idx val="0"/>
          <c:order val="0"/>
          <c:tx>
            <c:v>Redemption rate</c:v>
          </c:tx>
          <c:spPr>
            <a:solidFill>
              <a:srgbClr val="0E8B8B"/>
            </a:solidFill>
            <a:ln>
              <a:noFill/>
            </a:ln>
          </c:spPr>
          <c:dLbls>
            <c:numFmt formatCode="0.0%" sourceLinked="0"/>
            <c:txPr>
              <a:bodyPr/>
              <a:lstStyle/>
              <a:p>
                <a:pPr>
                  <a:defRPr sz="900" b="1" baseline="0"/>
                </a:pPr>
                <a:endParaRPr lang="en-US"/>
              </a:p>
            </c:txPr>
            <c:showVal val="1"/>
          </c:dLbls>
          <c:cat>
            <c:strRef>
              <c:f>'2. Executive Summary'!$B$75:$B$79</c:f>
              <c:strCache>
                <c:ptCount val="5"/>
                <c:pt idx="0">
                  <c:v>Airtime</c:v>
                </c:pt>
                <c:pt idx="1">
                  <c:v>Electricity</c:v>
                </c:pt>
                <c:pt idx="2">
                  <c:v>Groceries</c:v>
                </c:pt>
                <c:pt idx="3">
                  <c:v>Bill Payment</c:v>
                </c:pt>
                <c:pt idx="4">
                  <c:v>Gaming</c:v>
                </c:pt>
              </c:strCache>
            </c:strRef>
          </c:cat>
          <c:val>
            <c:numRef>
              <c:f>'2. Executive Summary'!$D$75:$D$79</c:f>
              <c:numCache>
                <c:formatCode>General</c:formatCode>
                <c:ptCount val="5"/>
                <c:pt idx="0">
                  <c:v>0.9282748638250866</c:v>
                </c:pt>
                <c:pt idx="1">
                  <c:v>0.877931230002835</c:v>
                </c:pt>
                <c:pt idx="2">
                  <c:v>0.8267219182491149</c:v>
                </c:pt>
                <c:pt idx="3">
                  <c:v>0.8013695584507982</c:v>
                </c:pt>
                <c:pt idx="4">
                  <c:v>0.7594797178130511</c:v>
                </c:pt>
              </c:numCache>
            </c:numRef>
          </c:val>
        </c:ser>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max val="0.95"/>
          <c:min val="0.7"/>
        </c:scaling>
        <c:axPos val="b"/>
        <c:majorGridlines/>
        <c:numFmt formatCode="0%" sourceLinked="0"/>
        <c:tickLblPos val="nextTo"/>
        <c:crossAx val="50030001"/>
        <c:crosses val="autoZero"/>
        <c:crossBetween val="between"/>
      </c:valAx>
    </c:plotArea>
    <c:plotVisOnly val="1"/>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2305B"/>
                </a:solidFill>
              </a:defRPr>
            </a:pPr>
            <a:r>
              <a:rPr lang="en-US" sz="1200" b="1" baseline="0">
                <a:solidFill>
                  <a:srgbClr val="12305B"/>
                </a:solidFill>
              </a:rPr>
              <a:t>Redemption rate by voucher type over time</a:t>
            </a:r>
          </a:p>
        </c:rich>
      </c:tx>
      <c:layout/>
    </c:title>
    <c:plotArea>
      <c:layout/>
      <c:lineChart>
        <c:grouping val="standard"/>
        <c:ser>
          <c:idx val="0"/>
          <c:order val="0"/>
          <c:tx>
            <c:strRef>
              <c:f>'4. Voucher Analysis'!$B$19</c:f>
              <c:strCache>
                <c:ptCount val="1"/>
                <c:pt idx="0">
                  <c:v>Airtime</c:v>
                </c:pt>
              </c:strCache>
            </c:strRef>
          </c:tx>
          <c:spPr>
            <a:ln w="28575"/>
          </c:spPr>
          <c:marker>
            <c:symbol val="circle"/>
            <c:size val="5"/>
          </c:marker>
          <c:cat>
            <c:strRef>
              <c:f>'4. Voucher Analysis'!$C$18:$I$18</c:f>
              <c:strCache>
                <c:ptCount val="7"/>
                <c:pt idx="0">
                  <c:v>2026-01</c:v>
                </c:pt>
                <c:pt idx="1">
                  <c:v>2026-02</c:v>
                </c:pt>
                <c:pt idx="2">
                  <c:v>2026-03</c:v>
                </c:pt>
                <c:pt idx="3">
                  <c:v>2026-04</c:v>
                </c:pt>
                <c:pt idx="4">
                  <c:v>2026-05</c:v>
                </c:pt>
                <c:pt idx="5">
                  <c:v>2026-06</c:v>
                </c:pt>
                <c:pt idx="6">
                  <c:v>2026-07</c:v>
                </c:pt>
              </c:strCache>
            </c:strRef>
          </c:cat>
          <c:val>
            <c:numRef>
              <c:f>'4. Voucher Analysis'!$C$19:$I$19</c:f>
              <c:numCache>
                <c:formatCode>General</c:formatCode>
                <c:ptCount val="7"/>
                <c:pt idx="0">
                  <c:v>0.9297132707434661</c:v>
                </c:pt>
                <c:pt idx="1">
                  <c:v>0.9315913094539049</c:v>
                </c:pt>
                <c:pt idx="2">
                  <c:v>0.9264248704663213</c:v>
                </c:pt>
                <c:pt idx="3">
                  <c:v>0.9217414529914529</c:v>
                </c:pt>
                <c:pt idx="4">
                  <c:v>0.9349096705632306</c:v>
                </c:pt>
                <c:pt idx="5">
                  <c:v>0.9244013989776702</c:v>
                </c:pt>
                <c:pt idx="6">
                  <c:v>0.9293378696676263</c:v>
                </c:pt>
              </c:numCache>
            </c:numRef>
          </c:val>
        </c:ser>
        <c:ser>
          <c:idx val="1"/>
          <c:order val="1"/>
          <c:tx>
            <c:strRef>
              <c:f>'4. Voucher Analysis'!$B$20</c:f>
              <c:strCache>
                <c:ptCount val="1"/>
                <c:pt idx="0">
                  <c:v>Bill Payment</c:v>
                </c:pt>
              </c:strCache>
            </c:strRef>
          </c:tx>
          <c:spPr>
            <a:ln w="28575"/>
          </c:spPr>
          <c:marker>
            <c:symbol val="circle"/>
            <c:size val="5"/>
          </c:marker>
          <c:cat>
            <c:strRef>
              <c:f>'4. Voucher Analysis'!$C$18:$I$18</c:f>
              <c:strCache>
                <c:ptCount val="7"/>
                <c:pt idx="0">
                  <c:v>2026-01</c:v>
                </c:pt>
                <c:pt idx="1">
                  <c:v>2026-02</c:v>
                </c:pt>
                <c:pt idx="2">
                  <c:v>2026-03</c:v>
                </c:pt>
                <c:pt idx="3">
                  <c:v>2026-04</c:v>
                </c:pt>
                <c:pt idx="4">
                  <c:v>2026-05</c:v>
                </c:pt>
                <c:pt idx="5">
                  <c:v>2026-06</c:v>
                </c:pt>
                <c:pt idx="6">
                  <c:v>2026-07</c:v>
                </c:pt>
              </c:strCache>
            </c:strRef>
          </c:cat>
          <c:val>
            <c:numRef>
              <c:f>'4. Voucher Analysis'!$C$20:$I$20</c:f>
              <c:numCache>
                <c:formatCode>General</c:formatCode>
                <c:ptCount val="7"/>
                <c:pt idx="0">
                  <c:v>0.7991183879093199</c:v>
                </c:pt>
                <c:pt idx="1">
                  <c:v>0.8084096303831807</c:v>
                </c:pt>
                <c:pt idx="2">
                  <c:v>0.7950693374422187</c:v>
                </c:pt>
                <c:pt idx="3">
                  <c:v>0.7906182044113078</c:v>
                </c:pt>
                <c:pt idx="4">
                  <c:v>0.8037070799149195</c:v>
                </c:pt>
                <c:pt idx="5">
                  <c:v>0.8022079116835327</c:v>
                </c:pt>
                <c:pt idx="6">
                  <c:v>0.8106332138590203</c:v>
                </c:pt>
              </c:numCache>
            </c:numRef>
          </c:val>
        </c:ser>
        <c:ser>
          <c:idx val="2"/>
          <c:order val="2"/>
          <c:tx>
            <c:strRef>
              <c:f>'4. Voucher Analysis'!$B$21</c:f>
              <c:strCache>
                <c:ptCount val="1"/>
                <c:pt idx="0">
                  <c:v>Electricity</c:v>
                </c:pt>
              </c:strCache>
            </c:strRef>
          </c:tx>
          <c:spPr>
            <a:ln w="28575"/>
          </c:spPr>
          <c:marker>
            <c:symbol val="circle"/>
            <c:size val="5"/>
          </c:marker>
          <c:cat>
            <c:strRef>
              <c:f>'4. Voucher Analysis'!$C$18:$I$18</c:f>
              <c:strCache>
                <c:ptCount val="7"/>
                <c:pt idx="0">
                  <c:v>2026-01</c:v>
                </c:pt>
                <c:pt idx="1">
                  <c:v>2026-02</c:v>
                </c:pt>
                <c:pt idx="2">
                  <c:v>2026-03</c:v>
                </c:pt>
                <c:pt idx="3">
                  <c:v>2026-04</c:v>
                </c:pt>
                <c:pt idx="4">
                  <c:v>2026-05</c:v>
                </c:pt>
                <c:pt idx="5">
                  <c:v>2026-06</c:v>
                </c:pt>
                <c:pt idx="6">
                  <c:v>2026-07</c:v>
                </c:pt>
              </c:strCache>
            </c:strRef>
          </c:cat>
          <c:val>
            <c:numRef>
              <c:f>'4. Voucher Analysis'!$C$21:$I$21</c:f>
              <c:numCache>
                <c:formatCode>General</c:formatCode>
                <c:ptCount val="7"/>
                <c:pt idx="0">
                  <c:v>0.8825406032482599</c:v>
                </c:pt>
                <c:pt idx="1">
                  <c:v>0.87900466562986</c:v>
                </c:pt>
                <c:pt idx="2">
                  <c:v>0.8791574279379157</c:v>
                </c:pt>
                <c:pt idx="3">
                  <c:v>0.8765432098765432</c:v>
                </c:pt>
                <c:pt idx="4">
                  <c:v>0.8771978021978022</c:v>
                </c:pt>
                <c:pt idx="5">
                  <c:v>0.8723233404710921</c:v>
                </c:pt>
                <c:pt idx="6">
                  <c:v>0.8792474024150519</c:v>
                </c:pt>
              </c:numCache>
            </c:numRef>
          </c:val>
        </c:ser>
        <c:ser>
          <c:idx val="3"/>
          <c:order val="3"/>
          <c:tx>
            <c:strRef>
              <c:f>'4. Voucher Analysis'!$B$22</c:f>
              <c:strCache>
                <c:ptCount val="1"/>
                <c:pt idx="0">
                  <c:v>Gaming</c:v>
                </c:pt>
              </c:strCache>
            </c:strRef>
          </c:tx>
          <c:spPr>
            <a:ln w="28575"/>
          </c:spPr>
          <c:marker>
            <c:symbol val="circle"/>
            <c:size val="5"/>
          </c:marker>
          <c:cat>
            <c:strRef>
              <c:f>'4. Voucher Analysis'!$C$18:$I$18</c:f>
              <c:strCache>
                <c:ptCount val="7"/>
                <c:pt idx="0">
                  <c:v>2026-01</c:v>
                </c:pt>
                <c:pt idx="1">
                  <c:v>2026-02</c:v>
                </c:pt>
                <c:pt idx="2">
                  <c:v>2026-03</c:v>
                </c:pt>
                <c:pt idx="3">
                  <c:v>2026-04</c:v>
                </c:pt>
                <c:pt idx="4">
                  <c:v>2026-05</c:v>
                </c:pt>
                <c:pt idx="5">
                  <c:v>2026-06</c:v>
                </c:pt>
                <c:pt idx="6">
                  <c:v>2026-07</c:v>
                </c:pt>
              </c:strCache>
            </c:strRef>
          </c:cat>
          <c:val>
            <c:numRef>
              <c:f>'4. Voucher Analysis'!$C$22:$I$22</c:f>
              <c:numCache>
                <c:formatCode>General</c:formatCode>
                <c:ptCount val="7"/>
                <c:pt idx="0">
                  <c:v>0.7642028100183262</c:v>
                </c:pt>
                <c:pt idx="1">
                  <c:v>0.7520604395604396</c:v>
                </c:pt>
                <c:pt idx="2">
                  <c:v>0.7584670231729055</c:v>
                </c:pt>
                <c:pt idx="3">
                  <c:v>0.7769516728624535</c:v>
                </c:pt>
                <c:pt idx="4">
                  <c:v>0.7405882352941177</c:v>
                </c:pt>
                <c:pt idx="5">
                  <c:v>0.7581148564294632</c:v>
                </c:pt>
                <c:pt idx="6">
                  <c:v>0.7660800970873787</c:v>
                </c:pt>
              </c:numCache>
            </c:numRef>
          </c:val>
        </c:ser>
        <c:ser>
          <c:idx val="4"/>
          <c:order val="4"/>
          <c:tx>
            <c:strRef>
              <c:f>'4. Voucher Analysis'!$B$23</c:f>
              <c:strCache>
                <c:ptCount val="1"/>
                <c:pt idx="0">
                  <c:v>Groceries</c:v>
                </c:pt>
              </c:strCache>
            </c:strRef>
          </c:tx>
          <c:spPr>
            <a:ln w="28575"/>
          </c:spPr>
          <c:marker>
            <c:symbol val="circle"/>
            <c:size val="5"/>
          </c:marker>
          <c:cat>
            <c:strRef>
              <c:f>'4. Voucher Analysis'!$C$18:$I$18</c:f>
              <c:strCache>
                <c:ptCount val="7"/>
                <c:pt idx="0">
                  <c:v>2026-01</c:v>
                </c:pt>
                <c:pt idx="1">
                  <c:v>2026-02</c:v>
                </c:pt>
                <c:pt idx="2">
                  <c:v>2026-03</c:v>
                </c:pt>
                <c:pt idx="3">
                  <c:v>2026-04</c:v>
                </c:pt>
                <c:pt idx="4">
                  <c:v>2026-05</c:v>
                </c:pt>
                <c:pt idx="5">
                  <c:v>2026-06</c:v>
                </c:pt>
                <c:pt idx="6">
                  <c:v>2026-07</c:v>
                </c:pt>
              </c:strCache>
            </c:strRef>
          </c:cat>
          <c:val>
            <c:numRef>
              <c:f>'4. Voucher Analysis'!$C$23:$I$23</c:f>
              <c:numCache>
                <c:formatCode>General</c:formatCode>
                <c:ptCount val="7"/>
                <c:pt idx="0">
                  <c:v>0.8155930329001936</c:v>
                </c:pt>
                <c:pt idx="1">
                  <c:v>0.8386405388854868</c:v>
                </c:pt>
                <c:pt idx="2">
                  <c:v>0.8200486355039178</c:v>
                </c:pt>
                <c:pt idx="3">
                  <c:v>0.8280034572169404</c:v>
                </c:pt>
                <c:pt idx="4">
                  <c:v>0.8314238952536824</c:v>
                </c:pt>
                <c:pt idx="5">
                  <c:v>0.8334272829763247</c:v>
                </c:pt>
                <c:pt idx="6">
                  <c:v>0.8212991357680512</c:v>
                </c:pt>
              </c:numCache>
            </c:numRef>
          </c:val>
        </c:ser>
        <c:marker val="1"/>
        <c:axId val="50040001"/>
        <c:axId val="50040002"/>
      </c:lineChart>
      <c:catAx>
        <c:axId val="50040001"/>
        <c:scaling>
          <c:orientation val="minMax"/>
        </c:scaling>
        <c:axPos val="b"/>
        <c:tickLblPos val="nextTo"/>
        <c:crossAx val="50040002"/>
        <c:crosses val="autoZero"/>
        <c:auto val="1"/>
        <c:lblAlgn val="ctr"/>
        <c:lblOffset val="100"/>
      </c:catAx>
      <c:valAx>
        <c:axId val="50040002"/>
        <c:scaling>
          <c:orientation val="minMax"/>
          <c:max val="0.98"/>
          <c:min val="0.7"/>
        </c:scaling>
        <c:axPos val="l"/>
        <c:majorGridlines>
          <c:spPr>
            <a:ln>
              <a:solidFill>
                <a:srgbClr val="E4EAF2"/>
              </a:solidFill>
            </a:ln>
          </c:spPr>
        </c:majorGridlines>
        <c:numFmt formatCode="0%" sourceLinked="0"/>
        <c:tickLblPos val="nextTo"/>
        <c:crossAx val="5004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2305B"/>
                </a:solidFill>
              </a:defRPr>
            </a:pPr>
            <a:r>
              <a:rPr lang="en-US" sz="1200" b="1" baseline="0">
                <a:solidFill>
                  <a:srgbClr val="12305B"/>
                </a:solidFill>
              </a:rPr>
              <a:t>Ticket volume by month and priority</a:t>
            </a:r>
          </a:p>
        </c:rich>
      </c:tx>
      <c:layout/>
    </c:title>
    <c:plotArea>
      <c:layout/>
      <c:barChart>
        <c:barDir val="col"/>
        <c:grouping val="stacked"/>
        <c:ser>
          <c:idx val="0"/>
          <c:order val="0"/>
          <c:tx>
            <c:strRef>
              <c:f>'5. Operational View'!$C$38</c:f>
              <c:strCache>
                <c:ptCount val="1"/>
                <c:pt idx="0">
                  <c:v>Critical</c:v>
                </c:pt>
              </c:strCache>
            </c:strRef>
          </c:tx>
          <c:spPr>
            <a:solidFill>
              <a:srgbClr val="C0392B"/>
            </a:solidFill>
            <a:ln>
              <a:noFill/>
            </a:ln>
          </c:spPr>
          <c:cat>
            <c:strRef>
              <c:f>'5. Operational View'!$B$39:$B$45</c:f>
              <c:strCache>
                <c:ptCount val="7"/>
                <c:pt idx="0">
                  <c:v>2026-01</c:v>
                </c:pt>
                <c:pt idx="1">
                  <c:v>2026-02</c:v>
                </c:pt>
                <c:pt idx="2">
                  <c:v>2026-03</c:v>
                </c:pt>
                <c:pt idx="3">
                  <c:v>2026-04</c:v>
                </c:pt>
                <c:pt idx="4">
                  <c:v>2026-05</c:v>
                </c:pt>
                <c:pt idx="5">
                  <c:v>2026-06</c:v>
                </c:pt>
                <c:pt idx="6">
                  <c:v>2026-07</c:v>
                </c:pt>
              </c:strCache>
            </c:strRef>
          </c:cat>
          <c:val>
            <c:numRef>
              <c:f>'5. Operational View'!$C$39:$C$45</c:f>
              <c:numCache>
                <c:formatCode>General</c:formatCode>
                <c:ptCount val="7"/>
                <c:pt idx="0">
                  <c:v>14</c:v>
                </c:pt>
                <c:pt idx="1">
                  <c:v>7</c:v>
                </c:pt>
                <c:pt idx="2">
                  <c:v>20</c:v>
                </c:pt>
                <c:pt idx="3">
                  <c:v>14</c:v>
                </c:pt>
                <c:pt idx="4">
                  <c:v>16</c:v>
                </c:pt>
                <c:pt idx="5">
                  <c:v>27</c:v>
                </c:pt>
                <c:pt idx="6">
                  <c:v>21</c:v>
                </c:pt>
              </c:numCache>
            </c:numRef>
          </c:val>
        </c:ser>
        <c:ser>
          <c:idx val="1"/>
          <c:order val="1"/>
          <c:tx>
            <c:strRef>
              <c:f>'5. Operational View'!$D$38</c:f>
              <c:strCache>
                <c:ptCount val="1"/>
                <c:pt idx="0">
                  <c:v>High</c:v>
                </c:pt>
              </c:strCache>
            </c:strRef>
          </c:tx>
          <c:spPr>
            <a:solidFill>
              <a:srgbClr val="E8A317"/>
            </a:solidFill>
            <a:ln>
              <a:noFill/>
            </a:ln>
          </c:spPr>
          <c:cat>
            <c:strRef>
              <c:f>'5. Operational View'!$B$39:$B$45</c:f>
              <c:strCache>
                <c:ptCount val="7"/>
                <c:pt idx="0">
                  <c:v>2026-01</c:v>
                </c:pt>
                <c:pt idx="1">
                  <c:v>2026-02</c:v>
                </c:pt>
                <c:pt idx="2">
                  <c:v>2026-03</c:v>
                </c:pt>
                <c:pt idx="3">
                  <c:v>2026-04</c:v>
                </c:pt>
                <c:pt idx="4">
                  <c:v>2026-05</c:v>
                </c:pt>
                <c:pt idx="5">
                  <c:v>2026-06</c:v>
                </c:pt>
                <c:pt idx="6">
                  <c:v>2026-07</c:v>
                </c:pt>
              </c:strCache>
            </c:strRef>
          </c:cat>
          <c:val>
            <c:numRef>
              <c:f>'5. Operational View'!$D$39:$D$45</c:f>
              <c:numCache>
                <c:formatCode>General</c:formatCode>
                <c:ptCount val="7"/>
                <c:pt idx="0">
                  <c:v>46</c:v>
                </c:pt>
                <c:pt idx="1">
                  <c:v>27</c:v>
                </c:pt>
                <c:pt idx="2">
                  <c:v>30</c:v>
                </c:pt>
                <c:pt idx="3">
                  <c:v>26</c:v>
                </c:pt>
                <c:pt idx="4">
                  <c:v>47</c:v>
                </c:pt>
                <c:pt idx="5">
                  <c:v>35</c:v>
                </c:pt>
                <c:pt idx="6">
                  <c:v>59</c:v>
                </c:pt>
              </c:numCache>
            </c:numRef>
          </c:val>
        </c:ser>
        <c:ser>
          <c:idx val="2"/>
          <c:order val="2"/>
          <c:tx>
            <c:strRef>
              <c:f>'5. Operational View'!$E$38</c:f>
              <c:strCache>
                <c:ptCount val="1"/>
                <c:pt idx="0">
                  <c:v>Medium</c:v>
                </c:pt>
              </c:strCache>
            </c:strRef>
          </c:tx>
          <c:spPr>
            <a:solidFill>
              <a:srgbClr val="0E8B8B"/>
            </a:solidFill>
            <a:ln>
              <a:noFill/>
            </a:ln>
          </c:spPr>
          <c:cat>
            <c:strRef>
              <c:f>'5. Operational View'!$B$39:$B$45</c:f>
              <c:strCache>
                <c:ptCount val="7"/>
                <c:pt idx="0">
                  <c:v>2026-01</c:v>
                </c:pt>
                <c:pt idx="1">
                  <c:v>2026-02</c:v>
                </c:pt>
                <c:pt idx="2">
                  <c:v>2026-03</c:v>
                </c:pt>
                <c:pt idx="3">
                  <c:v>2026-04</c:v>
                </c:pt>
                <c:pt idx="4">
                  <c:v>2026-05</c:v>
                </c:pt>
                <c:pt idx="5">
                  <c:v>2026-06</c:v>
                </c:pt>
                <c:pt idx="6">
                  <c:v>2026-07</c:v>
                </c:pt>
              </c:strCache>
            </c:strRef>
          </c:cat>
          <c:val>
            <c:numRef>
              <c:f>'5. Operational View'!$E$39:$E$45</c:f>
              <c:numCache>
                <c:formatCode>General</c:formatCode>
                <c:ptCount val="7"/>
                <c:pt idx="0">
                  <c:v>65</c:v>
                </c:pt>
                <c:pt idx="1">
                  <c:v>57</c:v>
                </c:pt>
                <c:pt idx="2">
                  <c:v>55</c:v>
                </c:pt>
                <c:pt idx="3">
                  <c:v>57</c:v>
                </c:pt>
                <c:pt idx="4">
                  <c:v>60</c:v>
                </c:pt>
                <c:pt idx="5">
                  <c:v>74</c:v>
                </c:pt>
                <c:pt idx="6">
                  <c:v>86</c:v>
                </c:pt>
              </c:numCache>
            </c:numRef>
          </c:val>
        </c:ser>
        <c:ser>
          <c:idx val="3"/>
          <c:order val="3"/>
          <c:tx>
            <c:strRef>
              <c:f>'5. Operational View'!$F$38</c:f>
              <c:strCache>
                <c:ptCount val="1"/>
                <c:pt idx="0">
                  <c:v>Low</c:v>
                </c:pt>
              </c:strCache>
            </c:strRef>
          </c:tx>
          <c:spPr>
            <a:solidFill>
              <a:srgbClr val="12305B"/>
            </a:solidFill>
            <a:ln>
              <a:noFill/>
            </a:ln>
          </c:spPr>
          <c:cat>
            <c:strRef>
              <c:f>'5. Operational View'!$B$39:$B$45</c:f>
              <c:strCache>
                <c:ptCount val="7"/>
                <c:pt idx="0">
                  <c:v>2026-01</c:v>
                </c:pt>
                <c:pt idx="1">
                  <c:v>2026-02</c:v>
                </c:pt>
                <c:pt idx="2">
                  <c:v>2026-03</c:v>
                </c:pt>
                <c:pt idx="3">
                  <c:v>2026-04</c:v>
                </c:pt>
                <c:pt idx="4">
                  <c:v>2026-05</c:v>
                </c:pt>
                <c:pt idx="5">
                  <c:v>2026-06</c:v>
                </c:pt>
                <c:pt idx="6">
                  <c:v>2026-07</c:v>
                </c:pt>
              </c:strCache>
            </c:strRef>
          </c:cat>
          <c:val>
            <c:numRef>
              <c:f>'5. Operational View'!$F$39:$F$45</c:f>
              <c:numCache>
                <c:formatCode>General</c:formatCode>
                <c:ptCount val="7"/>
                <c:pt idx="0">
                  <c:v>73</c:v>
                </c:pt>
                <c:pt idx="1">
                  <c:v>65</c:v>
                </c:pt>
                <c:pt idx="2">
                  <c:v>72</c:v>
                </c:pt>
                <c:pt idx="3">
                  <c:v>73</c:v>
                </c:pt>
                <c:pt idx="4">
                  <c:v>65</c:v>
                </c:pt>
                <c:pt idx="5">
                  <c:v>79</c:v>
                </c:pt>
                <c:pt idx="6">
                  <c:v>93</c:v>
                </c:pt>
              </c:numCache>
            </c:numRef>
          </c:val>
        </c:ser>
        <c:overlap val="100"/>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numFmt formatCode="General" sourceLinked="1"/>
        <c:tickLblPos val="nextTo"/>
        <c:crossAx val="5005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2305B"/>
                </a:solidFill>
              </a:defRPr>
            </a:pPr>
            <a:r>
              <a:rPr lang="en-US" sz="1200" b="1" baseline="0">
                <a:solidFill>
                  <a:srgbClr val="12305B"/>
                </a:solidFill>
              </a:rPr>
              <a:t>Next 30 days: forecast sales with 80% interval</a:t>
            </a:r>
          </a:p>
        </c:rich>
      </c:tx>
      <c:layout/>
    </c:title>
    <c:plotArea>
      <c:layout/>
      <c:lineChart>
        <c:grouping val="standard"/>
        <c:ser>
          <c:idx val="0"/>
          <c:order val="0"/>
          <c:tx>
            <c:v>Forecast</c:v>
          </c:tx>
          <c:spPr>
            <a:ln w="31750">
              <a:solidFill>
                <a:srgbClr val="12305B"/>
              </a:solidFill>
            </a:ln>
          </c:spPr>
          <c:marker>
            <c:symbol val="none"/>
          </c:marker>
          <c:cat>
            <c:numRef>
              <c:f>'7. ML Model Results'!$B$40:$B$69</c:f>
              <c:numCache>
                <c:formatCode>General</c:formatCode>
                <c:ptCount val="30"/>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numCache>
            </c:numRef>
          </c:cat>
          <c:val>
            <c:numRef>
              <c:f>'7. ML Model Results'!$C$40:$C$69</c:f>
              <c:numCache>
                <c:formatCode>General</c:formatCode>
                <c:ptCount val="30"/>
                <c:pt idx="0">
                  <c:v>284637.6049123073</c:v>
                </c:pt>
                <c:pt idx="1">
                  <c:v>285883.0666656234</c:v>
                </c:pt>
                <c:pt idx="2">
                  <c:v>362101.5706826479</c:v>
                </c:pt>
                <c:pt idx="3">
                  <c:v>366621.5184474166</c:v>
                </c:pt>
                <c:pt idx="4">
                  <c:v>365895.446657666</c:v>
                </c:pt>
                <c:pt idx="5">
                  <c:v>366771.7899385985</c:v>
                </c:pt>
                <c:pt idx="6">
                  <c:v>367559.822616182</c:v>
                </c:pt>
                <c:pt idx="7">
                  <c:v>287328.9636007036</c:v>
                </c:pt>
                <c:pt idx="8">
                  <c:v>288574.4253540197</c:v>
                </c:pt>
                <c:pt idx="9">
                  <c:v>364792.9293710442</c:v>
                </c:pt>
                <c:pt idx="10">
                  <c:v>369312.8771358129</c:v>
                </c:pt>
                <c:pt idx="11">
                  <c:v>368586.8053460623</c:v>
                </c:pt>
                <c:pt idx="12">
                  <c:v>369463.1486269949</c:v>
                </c:pt>
                <c:pt idx="13">
                  <c:v>370251.1813045784</c:v>
                </c:pt>
                <c:pt idx="14">
                  <c:v>290020.3222890999</c:v>
                </c:pt>
                <c:pt idx="15">
                  <c:v>291265.7840424161</c:v>
                </c:pt>
                <c:pt idx="16">
                  <c:v>367484.2880594406</c:v>
                </c:pt>
                <c:pt idx="17">
                  <c:v>372004.2358242092</c:v>
                </c:pt>
                <c:pt idx="18">
                  <c:v>371278.1640344587</c:v>
                </c:pt>
                <c:pt idx="19">
                  <c:v>372154.5073153912</c:v>
                </c:pt>
                <c:pt idx="20">
                  <c:v>372942.5399929747</c:v>
                </c:pt>
                <c:pt idx="21">
                  <c:v>292711.6809774963</c:v>
                </c:pt>
                <c:pt idx="22">
                  <c:v>293957.1427308124</c:v>
                </c:pt>
                <c:pt idx="23">
                  <c:v>370175.6467478369</c:v>
                </c:pt>
                <c:pt idx="24">
                  <c:v>374695.5945126056</c:v>
                </c:pt>
                <c:pt idx="25">
                  <c:v>373969.522722855</c:v>
                </c:pt>
                <c:pt idx="26">
                  <c:v>374845.8660037876</c:v>
                </c:pt>
                <c:pt idx="27">
                  <c:v>375633.898681371</c:v>
                </c:pt>
                <c:pt idx="28">
                  <c:v>295403.0396658926</c:v>
                </c:pt>
                <c:pt idx="29">
                  <c:v>296648.5014192088</c:v>
                </c:pt>
              </c:numCache>
            </c:numRef>
          </c:val>
        </c:ser>
        <c:ser>
          <c:idx val="1"/>
          <c:order val="1"/>
          <c:tx>
            <c:v>Lower 80%</c:v>
          </c:tx>
          <c:spPr>
            <a:ln w="15875">
              <a:solidFill>
                <a:srgbClr val="9FB6D4"/>
              </a:solidFill>
              <a:prstDash val="dash"/>
            </a:ln>
          </c:spPr>
          <c:marker>
            <c:symbol val="none"/>
          </c:marker>
          <c:cat>
            <c:numRef>
              <c:f>'7. ML Model Results'!$B$40:$B$69</c:f>
              <c:numCache>
                <c:formatCode>General</c:formatCode>
                <c:ptCount val="30"/>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numCache>
            </c:numRef>
          </c:cat>
          <c:val>
            <c:numRef>
              <c:f>'7. ML Model Results'!$D$40:$D$69</c:f>
              <c:numCache>
                <c:formatCode>General</c:formatCode>
                <c:ptCount val="30"/>
                <c:pt idx="0">
                  <c:v>276148.8312056996</c:v>
                </c:pt>
                <c:pt idx="1">
                  <c:v>277394.2929590157</c:v>
                </c:pt>
                <c:pt idx="2">
                  <c:v>353612.7969760402</c:v>
                </c:pt>
                <c:pt idx="3">
                  <c:v>358132.7447408089</c:v>
                </c:pt>
                <c:pt idx="4">
                  <c:v>357406.6729510583</c:v>
                </c:pt>
                <c:pt idx="5">
                  <c:v>358283.0162319908</c:v>
                </c:pt>
                <c:pt idx="6">
                  <c:v>359071.0489095743</c:v>
                </c:pt>
                <c:pt idx="7">
                  <c:v>278840.1898940959</c:v>
                </c:pt>
                <c:pt idx="8">
                  <c:v>280085.651647412</c:v>
                </c:pt>
                <c:pt idx="9">
                  <c:v>356304.1556644365</c:v>
                </c:pt>
                <c:pt idx="10">
                  <c:v>360824.1034292052</c:v>
                </c:pt>
                <c:pt idx="11">
                  <c:v>360098.0316394547</c:v>
                </c:pt>
                <c:pt idx="12">
                  <c:v>360974.3749203872</c:v>
                </c:pt>
                <c:pt idx="13">
                  <c:v>361762.4075979707</c:v>
                </c:pt>
                <c:pt idx="14">
                  <c:v>281531.5485824922</c:v>
                </c:pt>
                <c:pt idx="15">
                  <c:v>282777.0103358084</c:v>
                </c:pt>
                <c:pt idx="16">
                  <c:v>358995.5143528329</c:v>
                </c:pt>
                <c:pt idx="17">
                  <c:v>363515.4621176015</c:v>
                </c:pt>
                <c:pt idx="18">
                  <c:v>362789.390327851</c:v>
                </c:pt>
                <c:pt idx="19">
                  <c:v>363665.7336087835</c:v>
                </c:pt>
                <c:pt idx="20">
                  <c:v>364453.766286367</c:v>
                </c:pt>
                <c:pt idx="21">
                  <c:v>284222.9072708886</c:v>
                </c:pt>
                <c:pt idx="22">
                  <c:v>285468.3690242047</c:v>
                </c:pt>
                <c:pt idx="23">
                  <c:v>361686.8730412292</c:v>
                </c:pt>
                <c:pt idx="24">
                  <c:v>366206.8208059979</c:v>
                </c:pt>
                <c:pt idx="25">
                  <c:v>365480.7490162473</c:v>
                </c:pt>
                <c:pt idx="26">
                  <c:v>366357.0922971799</c:v>
                </c:pt>
                <c:pt idx="27">
                  <c:v>367145.1249747633</c:v>
                </c:pt>
                <c:pt idx="28">
                  <c:v>286914.2659592849</c:v>
                </c:pt>
                <c:pt idx="29">
                  <c:v>288159.7277126011</c:v>
                </c:pt>
              </c:numCache>
            </c:numRef>
          </c:val>
        </c:ser>
        <c:ser>
          <c:idx val="2"/>
          <c:order val="2"/>
          <c:tx>
            <c:v>Upper 80%</c:v>
          </c:tx>
          <c:spPr>
            <a:ln w="15875">
              <a:solidFill>
                <a:srgbClr val="9FB6D4"/>
              </a:solidFill>
              <a:prstDash val="dash"/>
            </a:ln>
          </c:spPr>
          <c:marker>
            <c:symbol val="none"/>
          </c:marker>
          <c:cat>
            <c:numRef>
              <c:f>'7. ML Model Results'!$B$40:$B$69</c:f>
              <c:numCache>
                <c:formatCode>General</c:formatCode>
                <c:ptCount val="30"/>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numCache>
            </c:numRef>
          </c:cat>
          <c:val>
            <c:numRef>
              <c:f>'7. ML Model Results'!$E$40:$E$69</c:f>
              <c:numCache>
                <c:formatCode>General</c:formatCode>
                <c:ptCount val="30"/>
                <c:pt idx="0">
                  <c:v>293126.378618915</c:v>
                </c:pt>
                <c:pt idx="1">
                  <c:v>294371.8403722311</c:v>
                </c:pt>
                <c:pt idx="2">
                  <c:v>370590.3443892556</c:v>
                </c:pt>
                <c:pt idx="3">
                  <c:v>375110.2921540243</c:v>
                </c:pt>
                <c:pt idx="4">
                  <c:v>374384.2203642737</c:v>
                </c:pt>
                <c:pt idx="5">
                  <c:v>375260.5636452062</c:v>
                </c:pt>
                <c:pt idx="6">
                  <c:v>376048.5963227897</c:v>
                </c:pt>
                <c:pt idx="7">
                  <c:v>295817.7373073113</c:v>
                </c:pt>
                <c:pt idx="8">
                  <c:v>297063.1990606274</c:v>
                </c:pt>
                <c:pt idx="9">
                  <c:v>373281.7030776519</c:v>
                </c:pt>
                <c:pt idx="10">
                  <c:v>377801.6508424206</c:v>
                </c:pt>
                <c:pt idx="11">
                  <c:v>377075.57905267</c:v>
                </c:pt>
                <c:pt idx="12">
                  <c:v>377951.9223336026</c:v>
                </c:pt>
                <c:pt idx="13">
                  <c:v>378739.9550111861</c:v>
                </c:pt>
                <c:pt idx="14">
                  <c:v>298509.0959957076</c:v>
                </c:pt>
                <c:pt idx="15">
                  <c:v>299754.5577490238</c:v>
                </c:pt>
                <c:pt idx="16">
                  <c:v>375973.0617660483</c:v>
                </c:pt>
                <c:pt idx="17">
                  <c:v>380493.0095308169</c:v>
                </c:pt>
                <c:pt idx="18">
                  <c:v>379766.9377410664</c:v>
                </c:pt>
                <c:pt idx="19">
                  <c:v>380643.2810219989</c:v>
                </c:pt>
                <c:pt idx="20">
                  <c:v>381431.3136995824</c:v>
                </c:pt>
                <c:pt idx="21">
                  <c:v>301200.454684104</c:v>
                </c:pt>
                <c:pt idx="22">
                  <c:v>302445.9164374201</c:v>
                </c:pt>
                <c:pt idx="23">
                  <c:v>378664.4204544446</c:v>
                </c:pt>
                <c:pt idx="24">
                  <c:v>383184.3682192133</c:v>
                </c:pt>
                <c:pt idx="25">
                  <c:v>382458.2964294627</c:v>
                </c:pt>
                <c:pt idx="26">
                  <c:v>383334.6397103952</c:v>
                </c:pt>
                <c:pt idx="27">
                  <c:v>384122.6723879787</c:v>
                </c:pt>
                <c:pt idx="28">
                  <c:v>303891.8133725003</c:v>
                </c:pt>
                <c:pt idx="29">
                  <c:v>305137.2751258165</c:v>
                </c:pt>
              </c:numCache>
            </c:numRef>
          </c:val>
        </c:ser>
        <c:marker val="1"/>
        <c:axId val="50060001"/>
        <c:axId val="50060002"/>
      </c:lineChart>
      <c:catAx>
        <c:axId val="50060001"/>
        <c:scaling>
          <c:orientation val="minMax"/>
        </c:scaling>
        <c:axPos val="b"/>
        <c:numFmt formatCode="General" sourceLinked="1"/>
        <c:tickLblPos val="nextTo"/>
        <c:crossAx val="50060002"/>
        <c:crosses val="autoZero"/>
        <c:auto val="1"/>
        <c:lblAlgn val="ctr"/>
        <c:lblOffset val="100"/>
      </c:catAx>
      <c:valAx>
        <c:axId val="50060002"/>
        <c:scaling>
          <c:orientation val="minMax"/>
        </c:scaling>
        <c:axPos val="l"/>
        <c:majorGridlines>
          <c:spPr>
            <a:ln>
              <a:solidFill>
                <a:srgbClr val="E4EAF2"/>
              </a:solidFill>
            </a:ln>
          </c:spPr>
        </c:majorGridlines>
        <c:numFmt formatCode="R #,##0,&quot;k&quot;" sourceLinked="0"/>
        <c:tickLblPos val="nextTo"/>
        <c:crossAx val="5006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26</xdr:row>
      <xdr:rowOff>0</xdr:rowOff>
    </xdr:from>
    <xdr:to>
      <xdr:col>9</xdr:col>
      <xdr:colOff>57150</xdr:colOff>
      <xdr:row>41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55</xdr:row>
      <xdr:rowOff>0</xdr:rowOff>
    </xdr:from>
    <xdr:to>
      <xdr:col>5</xdr:col>
      <xdr:colOff>342900</xdr:colOff>
      <xdr:row>70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81</xdr:row>
      <xdr:rowOff>0</xdr:rowOff>
    </xdr:from>
    <xdr:to>
      <xdr:col>6</xdr:col>
      <xdr:colOff>447675</xdr:colOff>
      <xdr:row>95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504825</xdr:colOff>
      <xdr:row>40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47</xdr:row>
      <xdr:rowOff>0</xdr:rowOff>
    </xdr:from>
    <xdr:to>
      <xdr:col>6</xdr:col>
      <xdr:colOff>762000</xdr:colOff>
      <xdr:row>62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71</xdr:row>
      <xdr:rowOff>0</xdr:rowOff>
    </xdr:from>
    <xdr:to>
      <xdr:col>5</xdr:col>
      <xdr:colOff>847725</xdr:colOff>
      <xdr:row>86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2:D29"/>
  <sheetViews>
    <sheetView showGridLines="0" tabSelected="1" workbookViewId="0"/>
  </sheetViews>
  <sheetFormatPr defaultRowHeight="15"/>
  <cols>
    <col min="1" max="1" width="2.7109375" customWidth="1"/>
    <col min="2" max="2" width="34.7109375" customWidth="1"/>
    <col min="3" max="3" width="62.7109375" customWidth="1"/>
    <col min="4" max="4" width="22.7109375" customWidth="1"/>
  </cols>
  <sheetData>
    <row r="2" spans="2:4">
      <c r="B2" s="1" t="s">
        <v>0</v>
      </c>
    </row>
    <row r="3" spans="2:4">
      <c r="B3" s="2" t="s">
        <v>1</v>
      </c>
    </row>
    <row r="4" spans="2:4">
      <c r="B4" s="2" t="s">
        <v>2</v>
      </c>
    </row>
    <row r="7" spans="2:4" ht="22" customHeight="1">
      <c r="B7" s="3" t="s">
        <v>3</v>
      </c>
      <c r="C7" s="3"/>
      <c r="D7" s="3"/>
    </row>
    <row r="8" spans="2:4">
      <c r="B8" s="4" t="s">
        <v>4</v>
      </c>
      <c r="C8" s="5" t="s">
        <v>5</v>
      </c>
      <c r="D8" s="6"/>
    </row>
    <row r="9" spans="2:4">
      <c r="B9" s="4" t="s">
        <v>6</v>
      </c>
      <c r="C9" s="5" t="s">
        <v>7</v>
      </c>
      <c r="D9" s="6"/>
    </row>
    <row r="10" spans="2:4">
      <c r="B10" s="4" t="s">
        <v>8</v>
      </c>
      <c r="C10" s="5" t="s">
        <v>9</v>
      </c>
      <c r="D10" s="6"/>
    </row>
    <row r="11" spans="2:4">
      <c r="B11" s="4" t="s">
        <v>10</v>
      </c>
      <c r="C11" s="5" t="s">
        <v>11</v>
      </c>
      <c r="D11" s="6"/>
    </row>
    <row r="12" spans="2:4">
      <c r="B12" s="4" t="s">
        <v>12</v>
      </c>
      <c r="C12" s="5" t="s">
        <v>13</v>
      </c>
      <c r="D12" s="6"/>
    </row>
    <row r="13" spans="2:4">
      <c r="B13" s="4" t="s">
        <v>14</v>
      </c>
      <c r="C13" s="5" t="s">
        <v>15</v>
      </c>
      <c r="D13" s="6"/>
    </row>
    <row r="14" spans="2:4">
      <c r="B14" s="4" t="s">
        <v>16</v>
      </c>
      <c r="C14" s="5" t="s">
        <v>17</v>
      </c>
      <c r="D14" s="6"/>
    </row>
    <row r="15" spans="2:4">
      <c r="B15" s="4" t="s">
        <v>18</v>
      </c>
      <c r="C15" s="5" t="s">
        <v>19</v>
      </c>
      <c r="D15" s="6"/>
    </row>
    <row r="16" spans="2:4">
      <c r="B16" s="4" t="s">
        <v>20</v>
      </c>
      <c r="C16" s="5" t="s">
        <v>21</v>
      </c>
      <c r="D16" s="6"/>
    </row>
    <row r="18" spans="2:4" ht="22" customHeight="1">
      <c r="B18" s="3" t="s">
        <v>22</v>
      </c>
      <c r="C18" s="3"/>
      <c r="D18" s="3"/>
    </row>
    <row r="19" spans="2:4">
      <c r="B19" s="4" t="s">
        <v>23</v>
      </c>
      <c r="C19" s="5" t="s">
        <v>24</v>
      </c>
      <c r="D19" s="5"/>
    </row>
    <row r="20" spans="2:4">
      <c r="B20" s="4" t="s">
        <v>25</v>
      </c>
      <c r="C20" s="5" t="s">
        <v>26</v>
      </c>
      <c r="D20" s="5"/>
    </row>
    <row r="21" spans="2:4">
      <c r="B21" s="4" t="s">
        <v>27</v>
      </c>
      <c r="C21" s="5" t="s">
        <v>28</v>
      </c>
      <c r="D21" s="5"/>
    </row>
    <row r="22" spans="2:4">
      <c r="B22" s="4" t="s">
        <v>29</v>
      </c>
      <c r="C22" s="5" t="s">
        <v>30</v>
      </c>
      <c r="D22" s="5"/>
    </row>
    <row r="23" spans="2:4">
      <c r="B23" s="4" t="s">
        <v>31</v>
      </c>
      <c r="C23" s="5" t="s">
        <v>32</v>
      </c>
      <c r="D23" s="5"/>
    </row>
    <row r="24" spans="2:4">
      <c r="B24" s="4" t="s">
        <v>33</v>
      </c>
      <c r="C24" s="5" t="s">
        <v>34</v>
      </c>
      <c r="D24" s="5"/>
    </row>
    <row r="25" spans="2:4">
      <c r="B25" s="4" t="s">
        <v>35</v>
      </c>
      <c r="C25" s="5" t="s">
        <v>36</v>
      </c>
      <c r="D25" s="5"/>
    </row>
    <row r="26" spans="2:4">
      <c r="B26" s="4" t="s">
        <v>37</v>
      </c>
      <c r="C26" s="5" t="s">
        <v>38</v>
      </c>
      <c r="D26" s="5"/>
    </row>
    <row r="27" spans="2:4">
      <c r="B27" s="4" t="s">
        <v>39</v>
      </c>
      <c r="C27" s="5" t="s">
        <v>40</v>
      </c>
      <c r="D27" s="5"/>
    </row>
    <row r="29" spans="2:4">
      <c r="B29" s="7" t="s">
        <v>41</v>
      </c>
      <c r="C29" s="7"/>
      <c r="D29" s="7"/>
    </row>
  </sheetData>
  <mergeCells count="12">
    <mergeCell ref="B7:D7"/>
    <mergeCell ref="B18:D18"/>
    <mergeCell ref="C19:D19"/>
    <mergeCell ref="C20:D20"/>
    <mergeCell ref="C21:D21"/>
    <mergeCell ref="C22:D22"/>
    <mergeCell ref="C23:D23"/>
    <mergeCell ref="C24:D24"/>
    <mergeCell ref="C25:D25"/>
    <mergeCell ref="C26:D26"/>
    <mergeCell ref="C27:D27"/>
    <mergeCell ref="B29:D2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2:P96"/>
  <sheetViews>
    <sheetView showGridLines="0" workbookViewId="0"/>
  </sheetViews>
  <sheetFormatPr defaultRowHeight="15"/>
  <cols>
    <col min="1" max="1" width="2.7109375" customWidth="1"/>
    <col min="2" max="3" width="14.7109375" customWidth="1"/>
    <col min="4" max="7" width="12.7109375" customWidth="1"/>
    <col min="8" max="8" width="14.7109375" customWidth="1"/>
    <col min="9" max="9" width="12.7109375" customWidth="1"/>
    <col min="10" max="10" width="15.7109375" customWidth="1"/>
    <col min="11" max="16" width="12.7109375" customWidth="1"/>
  </cols>
  <sheetData>
    <row r="2" spans="1:16">
      <c r="B2" s="1" t="s">
        <v>42</v>
      </c>
    </row>
    <row r="3" spans="1:16">
      <c r="B3" s="2" t="s">
        <v>43</v>
      </c>
    </row>
    <row r="6" spans="1:16" ht="16" customHeight="1">
      <c r="B6" s="8" t="s">
        <v>44</v>
      </c>
      <c r="C6" s="8"/>
      <c r="D6" s="8"/>
      <c r="E6" s="8" t="s">
        <v>46</v>
      </c>
      <c r="F6" s="8"/>
      <c r="G6" s="8"/>
      <c r="H6" s="9" t="s">
        <v>48</v>
      </c>
      <c r="I6" s="9"/>
      <c r="J6" s="9"/>
      <c r="K6" s="9" t="s">
        <v>50</v>
      </c>
      <c r="L6" s="9"/>
      <c r="M6" s="9"/>
      <c r="N6" s="10" t="s">
        <v>52</v>
      </c>
      <c r="O6" s="10"/>
      <c r="P6" s="10"/>
    </row>
    <row r="7" spans="1:16" ht="30" customHeight="1">
      <c r="B7" s="11">
        <v>65521298.74999973</v>
      </c>
      <c r="C7" s="11"/>
      <c r="D7" s="11"/>
      <c r="E7" s="12">
        <v>510127</v>
      </c>
      <c r="F7" s="12"/>
      <c r="G7" s="12"/>
      <c r="H7" s="13">
        <v>0.8418933776422058</v>
      </c>
      <c r="I7" s="13"/>
      <c r="J7" s="13"/>
      <c r="K7" s="14">
        <v>23.72964049889951</v>
      </c>
      <c r="L7" s="14"/>
      <c r="M7" s="14"/>
      <c r="N7" s="15">
        <v>0.2626559060895085</v>
      </c>
      <c r="O7" s="15"/>
      <c r="P7" s="15"/>
    </row>
    <row r="8" spans="1:16" ht="14" customHeight="1">
      <c r="B8" s="16" t="s">
        <v>45</v>
      </c>
      <c r="C8" s="16"/>
      <c r="D8" s="16"/>
      <c r="E8" s="16" t="s">
        <v>47</v>
      </c>
      <c r="F8" s="16"/>
      <c r="G8" s="16"/>
      <c r="H8" s="17" t="s">
        <v>49</v>
      </c>
      <c r="I8" s="17"/>
      <c r="J8" s="17"/>
      <c r="K8" s="17" t="s">
        <v>51</v>
      </c>
      <c r="L8" s="17"/>
      <c r="M8" s="17"/>
      <c r="N8" s="18" t="s">
        <v>53</v>
      </c>
      <c r="O8" s="18"/>
      <c r="P8" s="18"/>
    </row>
    <row r="10" spans="1:16" ht="16" customHeight="1">
      <c r="B10" s="8" t="s">
        <v>54</v>
      </c>
      <c r="C10" s="8"/>
      <c r="D10" s="8"/>
      <c r="E10" s="9" t="s">
        <v>56</v>
      </c>
      <c r="F10" s="9"/>
      <c r="G10" s="9"/>
      <c r="H10" s="9" t="s">
        <v>58</v>
      </c>
      <c r="I10" s="9"/>
      <c r="J10" s="9"/>
      <c r="K10" s="10" t="s">
        <v>60</v>
      </c>
      <c r="L10" s="10"/>
      <c r="M10" s="10"/>
      <c r="N10" s="10" t="s">
        <v>62</v>
      </c>
      <c r="O10" s="10"/>
      <c r="P10" s="10"/>
    </row>
    <row r="11" spans="1:16" ht="30" customHeight="1">
      <c r="B11" s="11">
        <v>3541563.079999995</v>
      </c>
      <c r="C11" s="11"/>
      <c r="D11" s="11"/>
      <c r="E11" s="19">
        <v>3.582327700480151</v>
      </c>
      <c r="F11" s="19"/>
      <c r="G11" s="19"/>
      <c r="H11" s="13">
        <v>0.1386938719401432</v>
      </c>
      <c r="I11" s="13"/>
      <c r="J11" s="13"/>
      <c r="K11" s="20">
        <v>239</v>
      </c>
      <c r="L11" s="20"/>
      <c r="M11" s="20"/>
      <c r="N11" s="21">
        <v>1215520.679999998</v>
      </c>
      <c r="O11" s="21"/>
      <c r="P11" s="21"/>
    </row>
    <row r="12" spans="1:16" ht="14" customHeight="1">
      <c r="B12" s="16" t="s">
        <v>55</v>
      </c>
      <c r="C12" s="16"/>
      <c r="D12" s="16"/>
      <c r="E12" s="17" t="s">
        <v>57</v>
      </c>
      <c r="F12" s="17"/>
      <c r="G12" s="17"/>
      <c r="H12" s="17" t="s">
        <v>59</v>
      </c>
      <c r="I12" s="17"/>
      <c r="J12" s="17"/>
      <c r="K12" s="18" t="s">
        <v>61</v>
      </c>
      <c r="L12" s="18"/>
      <c r="M12" s="18"/>
      <c r="N12" s="18" t="s">
        <v>63</v>
      </c>
      <c r="O12" s="18"/>
      <c r="P12" s="18"/>
    </row>
    <row r="15" spans="1:16" ht="24" customHeight="1">
      <c r="A15" s="3" t="s">
        <v>64</v>
      </c>
      <c r="B15" s="3"/>
      <c r="C15" s="3"/>
      <c r="D15" s="3"/>
      <c r="E15" s="3"/>
      <c r="F15" s="3"/>
      <c r="G15" s="3"/>
      <c r="H15" s="3"/>
      <c r="I15" s="3"/>
      <c r="J15" s="3"/>
      <c r="K15" s="3"/>
      <c r="L15" s="3"/>
      <c r="M15" s="3"/>
      <c r="N15" s="3"/>
      <c r="O15" s="3"/>
      <c r="P15" s="3"/>
    </row>
    <row r="17" spans="2:11">
      <c r="B17" s="22" t="s">
        <v>65</v>
      </c>
      <c r="C17" s="22" t="s">
        <v>66</v>
      </c>
      <c r="D17" s="22" t="s">
        <v>67</v>
      </c>
      <c r="E17" s="22" t="s">
        <v>68</v>
      </c>
      <c r="F17" s="22" t="s">
        <v>69</v>
      </c>
      <c r="G17" s="22" t="s">
        <v>70</v>
      </c>
      <c r="H17" s="22" t="s">
        <v>71</v>
      </c>
      <c r="I17" s="22" t="s">
        <v>72</v>
      </c>
      <c r="J17" s="22" t="s">
        <v>73</v>
      </c>
      <c r="K17" s="22" t="s">
        <v>74</v>
      </c>
    </row>
    <row r="18" spans="2:11">
      <c r="B18" s="6" t="s">
        <v>75</v>
      </c>
      <c r="C18" s="23">
        <v>8163258.770000012</v>
      </c>
      <c r="D18" s="24">
        <v>63581</v>
      </c>
      <c r="E18" s="25"/>
      <c r="F18" s="26">
        <v>128.3914812601251</v>
      </c>
      <c r="G18" s="27">
        <v>0.8419454628780935</v>
      </c>
      <c r="H18" s="28">
        <v>3.556031843233313</v>
      </c>
      <c r="I18" s="24" t="s">
        <v>76</v>
      </c>
      <c r="J18" s="28">
        <v>22.97373737373739</v>
      </c>
      <c r="K18" s="27">
        <v>0.2777777777777778</v>
      </c>
    </row>
    <row r="19" spans="2:11">
      <c r="B19" s="29" t="s">
        <v>77</v>
      </c>
      <c r="C19" s="23">
        <v>7914804.790000017</v>
      </c>
      <c r="D19" s="24">
        <v>62058</v>
      </c>
      <c r="E19" s="25">
        <v>-0.03043563691905293</v>
      </c>
      <c r="F19" s="26">
        <v>127.538831254633</v>
      </c>
      <c r="G19" s="27">
        <v>0.8453136906273813</v>
      </c>
      <c r="H19" s="28">
        <v>3.511418269230769</v>
      </c>
      <c r="I19" s="24" t="s">
        <v>78</v>
      </c>
      <c r="J19" s="28">
        <v>21.66987179487179</v>
      </c>
      <c r="K19" s="27">
        <v>0.2243589743589744</v>
      </c>
    </row>
    <row r="20" spans="2:11">
      <c r="B20" s="6" t="s">
        <v>79</v>
      </c>
      <c r="C20" s="23">
        <v>9261644.49</v>
      </c>
      <c r="D20" s="24">
        <v>72488</v>
      </c>
      <c r="E20" s="25">
        <v>0.1701671406604559</v>
      </c>
      <c r="F20" s="26">
        <v>127.7679683533826</v>
      </c>
      <c r="G20" s="27">
        <v>0.8389201349831271</v>
      </c>
      <c r="H20" s="28">
        <v>3.535800482703138</v>
      </c>
      <c r="I20" s="24" t="s">
        <v>80</v>
      </c>
      <c r="J20" s="28">
        <v>25.97231638418078</v>
      </c>
      <c r="K20" s="27">
        <v>0.2655367231638418</v>
      </c>
    </row>
    <row r="21" spans="2:11">
      <c r="B21" s="29" t="s">
        <v>81</v>
      </c>
      <c r="C21" s="23">
        <v>9415908.869999986</v>
      </c>
      <c r="D21" s="24">
        <v>74021</v>
      </c>
      <c r="E21" s="25">
        <v>0.01665626230487982</v>
      </c>
      <c r="F21" s="26">
        <v>127.2059127815078</v>
      </c>
      <c r="G21" s="27">
        <v>0.8417031204432779</v>
      </c>
      <c r="H21" s="28">
        <v>3.833206292010256</v>
      </c>
      <c r="I21" s="24" t="s">
        <v>82</v>
      </c>
      <c r="J21" s="28">
        <v>21.93882352941177</v>
      </c>
      <c r="K21" s="27">
        <v>0.2</v>
      </c>
    </row>
    <row r="22" spans="2:11">
      <c r="B22" s="6" t="s">
        <v>83</v>
      </c>
      <c r="C22" s="23">
        <v>10111925.89999999</v>
      </c>
      <c r="D22" s="24">
        <v>79228</v>
      </c>
      <c r="E22" s="25">
        <v>0.07391926149769601</v>
      </c>
      <c r="F22" s="26">
        <v>127.6307101024889</v>
      </c>
      <c r="G22" s="27">
        <v>0.8402116997916784</v>
      </c>
      <c r="H22" s="28">
        <v>3.487301480935469</v>
      </c>
      <c r="I22" s="24" t="s">
        <v>84</v>
      </c>
      <c r="J22" s="28">
        <v>26.34202127659575</v>
      </c>
      <c r="K22" s="27">
        <v>0.3085106382978723</v>
      </c>
    </row>
    <row r="23" spans="2:11">
      <c r="B23" s="29" t="s">
        <v>85</v>
      </c>
      <c r="C23" s="23">
        <v>10186806.44000001</v>
      </c>
      <c r="D23" s="24">
        <v>78445</v>
      </c>
      <c r="E23" s="25">
        <v>0.007405170957593299</v>
      </c>
      <c r="F23" s="26">
        <v>129.8592190706865</v>
      </c>
      <c r="G23" s="27">
        <v>0.8414634146341463</v>
      </c>
      <c r="H23" s="28">
        <v>3.590936925903246</v>
      </c>
      <c r="I23" s="24" t="s">
        <v>86</v>
      </c>
      <c r="J23" s="28">
        <v>24.21116279069766</v>
      </c>
      <c r="K23" s="27">
        <v>0.2697674418604651</v>
      </c>
    </row>
    <row r="24" spans="2:11">
      <c r="B24" s="6" t="s">
        <v>87</v>
      </c>
      <c r="C24" s="23">
        <v>10466949.48999998</v>
      </c>
      <c r="D24" s="24">
        <v>80306</v>
      </c>
      <c r="E24" s="25">
        <v>0.02750057652022786</v>
      </c>
      <c r="F24" s="26">
        <v>130.3383245336585</v>
      </c>
      <c r="G24" s="27">
        <v>0.8440924317265656</v>
      </c>
      <c r="H24" s="28">
        <v>3.561848389049573</v>
      </c>
      <c r="I24" s="24" t="s">
        <v>88</v>
      </c>
      <c r="J24" s="28">
        <v>22.89498069498068</v>
      </c>
      <c r="K24" s="27">
        <v>0.2741312741312741</v>
      </c>
    </row>
    <row r="44" spans="1:16" ht="24" customHeight="1">
      <c r="A44" s="3" t="s">
        <v>89</v>
      </c>
      <c r="B44" s="3"/>
      <c r="C44" s="3"/>
      <c r="D44" s="3"/>
      <c r="E44" s="3"/>
      <c r="F44" s="3"/>
      <c r="G44" s="3"/>
      <c r="H44" s="3"/>
      <c r="I44" s="3"/>
      <c r="J44" s="3"/>
      <c r="K44" s="3"/>
      <c r="L44" s="3"/>
      <c r="M44" s="3"/>
      <c r="N44" s="3"/>
      <c r="O44" s="3"/>
      <c r="P44" s="3"/>
    </row>
    <row r="46" spans="1:16">
      <c r="B46" s="22" t="s">
        <v>90</v>
      </c>
      <c r="C46" s="22" t="s">
        <v>91</v>
      </c>
      <c r="D46" s="22" t="s">
        <v>92</v>
      </c>
      <c r="E46" s="22" t="s">
        <v>67</v>
      </c>
      <c r="F46" s="22" t="s">
        <v>93</v>
      </c>
      <c r="G46" s="22" t="s">
        <v>94</v>
      </c>
      <c r="H46" s="22" t="s">
        <v>95</v>
      </c>
      <c r="I46" s="22" t="s">
        <v>96</v>
      </c>
      <c r="J46" s="22" t="s">
        <v>97</v>
      </c>
    </row>
    <row r="47" spans="1:16">
      <c r="B47" s="6" t="s">
        <v>98</v>
      </c>
      <c r="C47" s="23">
        <v>18009802.27</v>
      </c>
      <c r="D47" s="27">
        <v>0.2748694335061543</v>
      </c>
      <c r="E47" s="24" t="s">
        <v>99</v>
      </c>
      <c r="F47" s="25">
        <v>0.04384430104573269</v>
      </c>
      <c r="G47" s="25">
        <v>0.008919815777959306</v>
      </c>
      <c r="H47" s="25">
        <v>0.01760262409243551</v>
      </c>
      <c r="I47" s="6" t="s">
        <v>87</v>
      </c>
      <c r="J47" s="25">
        <v>0</v>
      </c>
    </row>
    <row r="48" spans="1:16">
      <c r="B48" s="29" t="s">
        <v>100</v>
      </c>
      <c r="C48" s="23">
        <v>16145480.69999999</v>
      </c>
      <c r="D48" s="27">
        <v>0.2464157611039417</v>
      </c>
      <c r="E48" s="24" t="s">
        <v>101</v>
      </c>
      <c r="F48" s="25">
        <v>0.04519076304120214</v>
      </c>
      <c r="G48" s="25">
        <v>0.03551584513579931</v>
      </c>
      <c r="H48" s="25">
        <v>0.0369521143901167</v>
      </c>
      <c r="I48" s="29" t="s">
        <v>87</v>
      </c>
      <c r="J48" s="25">
        <v>0</v>
      </c>
    </row>
    <row r="49" spans="2:10">
      <c r="B49" s="6" t="s">
        <v>102</v>
      </c>
      <c r="C49" s="23">
        <v>13068297.25</v>
      </c>
      <c r="D49" s="27">
        <v>0.1994511326746252</v>
      </c>
      <c r="E49" s="24" t="s">
        <v>103</v>
      </c>
      <c r="F49" s="25">
        <v>0.04369811204745901</v>
      </c>
      <c r="G49" s="25">
        <v>0.03218321939954683</v>
      </c>
      <c r="H49" s="25">
        <v>0.03101009118525389</v>
      </c>
      <c r="I49" s="6" t="s">
        <v>87</v>
      </c>
      <c r="J49" s="25">
        <v>0</v>
      </c>
    </row>
    <row r="50" spans="2:10">
      <c r="B50" s="29" t="s">
        <v>104</v>
      </c>
      <c r="C50" s="23">
        <v>9516588.939999999</v>
      </c>
      <c r="D50" s="27">
        <v>0.1452442048853618</v>
      </c>
      <c r="E50" s="24" t="s">
        <v>105</v>
      </c>
      <c r="F50" s="25">
        <v>0.08543074074396234</v>
      </c>
      <c r="G50" s="25">
        <v>0.04087156578998319</v>
      </c>
      <c r="H50" s="25">
        <v>0.02766528719131189</v>
      </c>
      <c r="I50" s="29" t="s">
        <v>87</v>
      </c>
      <c r="J50" s="25">
        <v>0</v>
      </c>
    </row>
    <row r="51" spans="2:10">
      <c r="B51" s="6" t="s">
        <v>106</v>
      </c>
      <c r="C51" s="23">
        <v>8781129.59</v>
      </c>
      <c r="D51" s="27">
        <v>0.1340194678299169</v>
      </c>
      <c r="E51" s="24" t="s">
        <v>107</v>
      </c>
      <c r="F51" s="25">
        <v>0.01970319088526263</v>
      </c>
      <c r="G51" s="25">
        <v>0.02837890002037113</v>
      </c>
      <c r="H51" s="25">
        <v>-0.04701756854718103</v>
      </c>
      <c r="I51" s="6" t="s">
        <v>83</v>
      </c>
      <c r="J51" s="25">
        <v>-0.09750911281473118</v>
      </c>
    </row>
    <row r="53" spans="2:10">
      <c r="B53" s="7" t="s">
        <v>109</v>
      </c>
      <c r="C53" s="7"/>
      <c r="D53" s="7"/>
      <c r="E53" s="7"/>
      <c r="F53" s="7"/>
      <c r="G53" s="7"/>
      <c r="H53" s="7"/>
      <c r="I53" s="7"/>
      <c r="J53" s="7"/>
    </row>
    <row r="54" spans="2:10">
      <c r="B54" s="7"/>
      <c r="C54" s="7"/>
      <c r="D54" s="7"/>
      <c r="E54" s="7"/>
      <c r="F54" s="7"/>
      <c r="G54" s="7"/>
      <c r="H54" s="7"/>
      <c r="I54" s="7"/>
      <c r="J54" s="7"/>
    </row>
    <row r="72" spans="1:16" ht="24" customHeight="1">
      <c r="A72" s="3" t="s">
        <v>110</v>
      </c>
      <c r="B72" s="3"/>
      <c r="C72" s="3"/>
      <c r="D72" s="3"/>
      <c r="E72" s="3"/>
      <c r="F72" s="3"/>
      <c r="G72" s="3"/>
      <c r="H72" s="3"/>
      <c r="I72" s="3"/>
      <c r="J72" s="3"/>
      <c r="K72" s="3"/>
      <c r="L72" s="3"/>
      <c r="M72" s="3"/>
      <c r="N72" s="3"/>
      <c r="O72" s="3"/>
      <c r="P72" s="3"/>
    </row>
    <row r="74" spans="1:16">
      <c r="B74" s="22" t="s">
        <v>111</v>
      </c>
      <c r="C74" s="22" t="s">
        <v>112</v>
      </c>
      <c r="D74" s="22" t="s">
        <v>70</v>
      </c>
      <c r="E74" s="22" t="s">
        <v>113</v>
      </c>
      <c r="F74" s="22" t="s">
        <v>71</v>
      </c>
      <c r="G74" s="22" t="s">
        <v>114</v>
      </c>
      <c r="H74" s="22" t="s">
        <v>66</v>
      </c>
      <c r="I74" s="22" t="s">
        <v>115</v>
      </c>
      <c r="J74" s="22" t="s">
        <v>116</v>
      </c>
    </row>
    <row r="75" spans="1:16">
      <c r="B75" s="6" t="s">
        <v>117</v>
      </c>
      <c r="C75" s="24" t="s">
        <v>118</v>
      </c>
      <c r="D75" s="30">
        <v>0.9282748638250866</v>
      </c>
      <c r="E75" s="30">
        <v>0.9283167980542288</v>
      </c>
      <c r="F75" s="28">
        <v>3.54710709889208</v>
      </c>
      <c r="G75" s="27">
        <v>0.13483791546984</v>
      </c>
      <c r="H75" s="23">
        <v>14355277.16000005</v>
      </c>
      <c r="I75" s="27">
        <v>0.2190932938428674</v>
      </c>
      <c r="J75" s="23">
        <v>340978.8300000002</v>
      </c>
    </row>
    <row r="76" spans="1:16">
      <c r="B76" s="29" t="s">
        <v>119</v>
      </c>
      <c r="C76" s="24" t="s">
        <v>120</v>
      </c>
      <c r="D76" s="30">
        <v>0.877931230002835</v>
      </c>
      <c r="E76" s="30">
        <v>0.8756881016969075</v>
      </c>
      <c r="F76" s="28">
        <v>3.555980993679937</v>
      </c>
      <c r="G76" s="27">
        <v>0.136827051713798</v>
      </c>
      <c r="H76" s="23">
        <v>17787701.56999998</v>
      </c>
      <c r="I76" s="27">
        <v>0.2714796853748259</v>
      </c>
      <c r="J76" s="23">
        <v>557878.9799999994</v>
      </c>
    </row>
    <row r="77" spans="1:16">
      <c r="B77" s="6" t="s">
        <v>121</v>
      </c>
      <c r="C77" s="24" t="s">
        <v>122</v>
      </c>
      <c r="D77" s="30">
        <v>0.8267219182491149</v>
      </c>
      <c r="E77" s="30">
        <v>0.8262469196833659</v>
      </c>
      <c r="F77" s="28">
        <v>3.566742907197431</v>
      </c>
      <c r="G77" s="27">
        <v>0.138206238746411</v>
      </c>
      <c r="H77" s="23">
        <v>11425970.20999999</v>
      </c>
      <c r="I77" s="27">
        <v>0.1743855880146147</v>
      </c>
      <c r="J77" s="23">
        <v>784888.3399999988</v>
      </c>
    </row>
    <row r="78" spans="1:16">
      <c r="B78" s="29" t="s">
        <v>123</v>
      </c>
      <c r="C78" s="24" t="s">
        <v>124</v>
      </c>
      <c r="D78" s="30">
        <v>0.8013695584507982</v>
      </c>
      <c r="E78" s="30">
        <v>0.7987933455836244</v>
      </c>
      <c r="F78" s="28">
        <v>3.699478415270225</v>
      </c>
      <c r="G78" s="27">
        <v>0.1462656752857618</v>
      </c>
      <c r="H78" s="23">
        <v>13013794.08</v>
      </c>
      <c r="I78" s="27">
        <v>0.1986192936995163</v>
      </c>
      <c r="J78" s="23">
        <v>824709.6499999994</v>
      </c>
    </row>
    <row r="79" spans="1:16">
      <c r="B79" s="6" t="s">
        <v>125</v>
      </c>
      <c r="C79" s="24" t="s">
        <v>126</v>
      </c>
      <c r="D79" s="30">
        <v>0.7594797178130511</v>
      </c>
      <c r="E79" s="30">
        <v>0.7516144084150866</v>
      </c>
      <c r="F79" s="28">
        <v>3.56133526850508</v>
      </c>
      <c r="G79" s="27">
        <v>0.1391582002902758</v>
      </c>
      <c r="H79" s="23">
        <v>8938555.729999993</v>
      </c>
      <c r="I79" s="27">
        <v>0.1364221390681758</v>
      </c>
      <c r="J79" s="23">
        <v>1033107.279999998</v>
      </c>
    </row>
    <row r="96" spans="2:2">
      <c r="B96" s="7" t="s">
        <v>127</v>
      </c>
    </row>
  </sheetData>
  <mergeCells count="34">
    <mergeCell ref="B6:D6"/>
    <mergeCell ref="B7:D7"/>
    <mergeCell ref="B8:D8"/>
    <mergeCell ref="E6:G6"/>
    <mergeCell ref="E7:G7"/>
    <mergeCell ref="E8:G8"/>
    <mergeCell ref="H6:J6"/>
    <mergeCell ref="H7:J7"/>
    <mergeCell ref="H8:J8"/>
    <mergeCell ref="K6:M6"/>
    <mergeCell ref="K7:M7"/>
    <mergeCell ref="K8:M8"/>
    <mergeCell ref="N6:P6"/>
    <mergeCell ref="N7:P7"/>
    <mergeCell ref="N8:P8"/>
    <mergeCell ref="B10:D10"/>
    <mergeCell ref="B11:D11"/>
    <mergeCell ref="B12:D12"/>
    <mergeCell ref="E10:G10"/>
    <mergeCell ref="E11:G11"/>
    <mergeCell ref="E12:G12"/>
    <mergeCell ref="H10:J10"/>
    <mergeCell ref="H11:J11"/>
    <mergeCell ref="H12:J12"/>
    <mergeCell ref="K10:M10"/>
    <mergeCell ref="K11:M11"/>
    <mergeCell ref="K12:M12"/>
    <mergeCell ref="N10:P10"/>
    <mergeCell ref="N11:P11"/>
    <mergeCell ref="N12:P12"/>
    <mergeCell ref="A15:P15"/>
    <mergeCell ref="A44:P44"/>
    <mergeCell ref="B53:J54"/>
    <mergeCell ref="A72:P7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47"/>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1" max="1" width="2.7109375" customWidth="1"/>
    <col min="2" max="2" width="62.7109375" customWidth="1"/>
    <col min="3" max="3" width="14.7109375" customWidth="1"/>
    <col min="4" max="4" width="18.7109375" customWidth="1"/>
    <col min="5" max="5" width="14.7109375" customWidth="1"/>
    <col min="7" max="7" width="14.7109375" customWidth="1"/>
    <col min="15" max="15" width="13.7109375" customWidth="1"/>
    <col min="17" max="17" width="13.7109375" customWidth="1"/>
    <col min="24" max="24" width="15.7109375" customWidth="1"/>
  </cols>
  <sheetData>
    <row r="2" spans="2:25" x14ac:dyDescent="0.25">
      <c r="B2" s="1" t="s">
        <v>128</v>
      </c>
    </row>
    <row r="3" spans="2:25" x14ac:dyDescent="0.25">
      <c r="B3" s="2" t="s">
        <v>129</v>
      </c>
    </row>
    <row r="6" spans="2:25" x14ac:dyDescent="0.25">
      <c r="B6" s="22" t="s">
        <v>130</v>
      </c>
      <c r="C6" s="22" t="s">
        <v>90</v>
      </c>
      <c r="D6" s="22" t="s">
        <v>131</v>
      </c>
      <c r="E6" s="22" t="s">
        <v>132</v>
      </c>
      <c r="F6" s="22" t="s">
        <v>133</v>
      </c>
      <c r="G6" s="22" t="s">
        <v>91</v>
      </c>
      <c r="H6" s="22" t="s">
        <v>115</v>
      </c>
      <c r="I6" s="22" t="s">
        <v>134</v>
      </c>
      <c r="J6" s="22" t="s">
        <v>67</v>
      </c>
      <c r="K6" s="22" t="s">
        <v>69</v>
      </c>
      <c r="L6" s="22" t="s">
        <v>135</v>
      </c>
      <c r="M6" s="22" t="s">
        <v>136</v>
      </c>
      <c r="N6" s="22" t="s">
        <v>137</v>
      </c>
      <c r="O6" s="22" t="s">
        <v>138</v>
      </c>
      <c r="P6" s="22" t="s">
        <v>70</v>
      </c>
      <c r="Q6" s="22" t="s">
        <v>139</v>
      </c>
      <c r="R6" s="22" t="s">
        <v>72</v>
      </c>
      <c r="S6" s="22" t="s">
        <v>140</v>
      </c>
      <c r="T6" s="22" t="s">
        <v>74</v>
      </c>
      <c r="U6" s="22" t="s">
        <v>141</v>
      </c>
      <c r="V6" s="22" t="s">
        <v>142</v>
      </c>
      <c r="W6" s="22" t="s">
        <v>143</v>
      </c>
      <c r="X6" s="22" t="s">
        <v>144</v>
      </c>
      <c r="Y6" s="22" t="s">
        <v>145</v>
      </c>
    </row>
    <row r="7" spans="2:25" x14ac:dyDescent="0.25">
      <c r="B7" s="6" t="s">
        <v>146</v>
      </c>
      <c r="C7" s="6" t="s">
        <v>102</v>
      </c>
      <c r="D7" s="6" t="s">
        <v>147</v>
      </c>
      <c r="E7" s="6" t="s">
        <v>148</v>
      </c>
      <c r="F7" s="24" t="s">
        <v>149</v>
      </c>
      <c r="G7" s="23">
        <v>5776118.740000002</v>
      </c>
      <c r="H7" s="27">
        <v>0.08815635297522247</v>
      </c>
      <c r="I7" s="27">
        <v>0.08815635297522247</v>
      </c>
      <c r="J7" s="24" t="s">
        <v>150</v>
      </c>
      <c r="K7" s="26">
        <v>127.3086054969034</v>
      </c>
      <c r="L7" s="28">
        <v>1.121176962024936</v>
      </c>
      <c r="M7" s="25">
        <v>0.0175843637865003</v>
      </c>
      <c r="N7" s="25">
        <v>0.06279984033091712</v>
      </c>
      <c r="O7" s="25">
        <v>0.1920936530449004</v>
      </c>
      <c r="P7" s="27">
        <v>0.8378583633947219</v>
      </c>
      <c r="Q7" s="28">
        <v>3.754362111941989</v>
      </c>
      <c r="R7" s="24" t="s">
        <v>151</v>
      </c>
      <c r="S7" s="28">
        <v>2.733023296819554</v>
      </c>
      <c r="T7" s="27">
        <v>0.3548387096774194</v>
      </c>
      <c r="U7" s="25">
        <v>1.836363636363636</v>
      </c>
      <c r="V7" s="28">
        <v>35.8</v>
      </c>
      <c r="W7" s="6" t="s">
        <v>152</v>
      </c>
      <c r="X7" s="23">
        <v>0</v>
      </c>
      <c r="Y7" s="28">
        <v>46.5</v>
      </c>
    </row>
    <row r="8" spans="2:25" x14ac:dyDescent="0.25">
      <c r="B8" s="29" t="s">
        <v>153</v>
      </c>
      <c r="C8" s="29" t="s">
        <v>104</v>
      </c>
      <c r="D8" s="29" t="s">
        <v>154</v>
      </c>
      <c r="E8" s="29" t="s">
        <v>155</v>
      </c>
      <c r="F8" s="24" t="s">
        <v>156</v>
      </c>
      <c r="G8" s="23">
        <v>4535329.729999999</v>
      </c>
      <c r="H8" s="27">
        <v>0.06921916714906386</v>
      </c>
      <c r="I8" s="27">
        <v>0.1573755201242863</v>
      </c>
      <c r="J8" s="24" t="s">
        <v>157</v>
      </c>
      <c r="K8" s="26">
        <v>127.907093744712</v>
      </c>
      <c r="L8" s="28">
        <v>1.137909770126837</v>
      </c>
      <c r="M8" s="25">
        <v>0.04155125948441141</v>
      </c>
      <c r="N8" s="25">
        <v>0.1923182045670371</v>
      </c>
      <c r="O8" s="25">
        <v>0.7756933487434969</v>
      </c>
      <c r="P8" s="27">
        <v>0.8450331125827815</v>
      </c>
      <c r="Q8" s="28">
        <v>3.554411106135244</v>
      </c>
      <c r="R8" s="24" t="s">
        <v>158</v>
      </c>
      <c r="S8" s="28">
        <v>1.77674995769643</v>
      </c>
      <c r="T8" s="27">
        <v>0.253968253968254</v>
      </c>
      <c r="U8" s="25">
        <v>0.625</v>
      </c>
      <c r="V8" s="28">
        <v>75.59999999999999</v>
      </c>
      <c r="W8" s="29" t="s">
        <v>159</v>
      </c>
      <c r="X8" s="23">
        <v>0</v>
      </c>
      <c r="Y8" s="28">
        <v>23.5</v>
      </c>
    </row>
    <row r="9" spans="2:25" x14ac:dyDescent="0.25">
      <c r="B9" s="6" t="s">
        <v>160</v>
      </c>
      <c r="C9" s="6" t="s">
        <v>100</v>
      </c>
      <c r="D9" s="6" t="s">
        <v>154</v>
      </c>
      <c r="E9" s="6" t="s">
        <v>148</v>
      </c>
      <c r="F9" s="24" t="s">
        <v>161</v>
      </c>
      <c r="G9" s="23">
        <v>4519761.940000001</v>
      </c>
      <c r="H9" s="27">
        <v>0.06898156822631665</v>
      </c>
      <c r="I9" s="27">
        <v>0.226357088350603</v>
      </c>
      <c r="J9" s="24" t="s">
        <v>162</v>
      </c>
      <c r="K9" s="26">
        <v>125.8636017822334</v>
      </c>
      <c r="L9" s="28">
        <v>1.011149238378322</v>
      </c>
      <c r="M9" s="25">
        <v>0.03459582440354847</v>
      </c>
      <c r="N9" s="25">
        <v>0.07644784212566158</v>
      </c>
      <c r="O9" s="25">
        <v>0.2075837176191599</v>
      </c>
      <c r="P9" s="27">
        <v>0.8405933158092377</v>
      </c>
      <c r="Q9" s="28">
        <v>3.424838061201698</v>
      </c>
      <c r="R9" s="24" t="s">
        <v>163</v>
      </c>
      <c r="S9" s="28">
        <v>1.865775549986076</v>
      </c>
      <c r="T9" s="27">
        <v>0.373134328358209</v>
      </c>
      <c r="U9" s="25">
        <v>-0.25</v>
      </c>
      <c r="V9" s="28">
        <v>64</v>
      </c>
      <c r="W9" s="6" t="s">
        <v>164</v>
      </c>
      <c r="X9" s="23">
        <v>0</v>
      </c>
      <c r="Y9" s="28">
        <v>22.4</v>
      </c>
    </row>
    <row r="10" spans="2:25" x14ac:dyDescent="0.25">
      <c r="B10" s="29" t="s">
        <v>165</v>
      </c>
      <c r="C10" s="29" t="s">
        <v>100</v>
      </c>
      <c r="D10" s="29" t="s">
        <v>166</v>
      </c>
      <c r="E10" s="29" t="s">
        <v>167</v>
      </c>
      <c r="F10" s="24" t="s">
        <v>168</v>
      </c>
      <c r="G10" s="23">
        <v>4395067.11</v>
      </c>
      <c r="H10" s="27">
        <v>0.06707844920427497</v>
      </c>
      <c r="I10" s="27">
        <v>0.2934355375548779</v>
      </c>
      <c r="J10" s="24" t="s">
        <v>169</v>
      </c>
      <c r="K10" s="26">
        <v>126.8161442132903</v>
      </c>
      <c r="L10" s="28">
        <v>1.491484389700776</v>
      </c>
      <c r="M10" s="25">
        <v>0.03135274213671901</v>
      </c>
      <c r="N10" s="25">
        <v>0.07224285662246088</v>
      </c>
      <c r="O10" s="25">
        <v>0.1838537814711489</v>
      </c>
      <c r="P10" s="27">
        <v>0.8460652591170825</v>
      </c>
      <c r="Q10" s="28">
        <v>3.558756805807623</v>
      </c>
      <c r="R10" s="24" t="s">
        <v>170</v>
      </c>
      <c r="S10" s="28">
        <v>1.471564186167297</v>
      </c>
      <c r="T10" s="27">
        <v>0.196078431372549</v>
      </c>
      <c r="U10" s="25">
        <v>-0.3478260869565217</v>
      </c>
      <c r="V10" s="28">
        <v>62.9</v>
      </c>
      <c r="W10" s="29" t="s">
        <v>164</v>
      </c>
      <c r="X10" s="23">
        <v>0</v>
      </c>
      <c r="Y10" s="28">
        <v>21.7</v>
      </c>
    </row>
    <row r="11" spans="2:25" x14ac:dyDescent="0.25">
      <c r="B11" s="6" t="s">
        <v>171</v>
      </c>
      <c r="C11" s="6" t="s">
        <v>100</v>
      </c>
      <c r="D11" s="6" t="s">
        <v>166</v>
      </c>
      <c r="E11" s="6" t="s">
        <v>148</v>
      </c>
      <c r="F11" s="24" t="s">
        <v>172</v>
      </c>
      <c r="G11" s="23">
        <v>3965086.390000001</v>
      </c>
      <c r="H11" s="27">
        <v>0.06051599198497269</v>
      </c>
      <c r="I11" s="27">
        <v>0.3539515295398507</v>
      </c>
      <c r="J11" s="24" t="s">
        <v>173</v>
      </c>
      <c r="K11" s="26">
        <v>127.3964268731526</v>
      </c>
      <c r="L11" s="28">
        <v>1.492784067791428</v>
      </c>
      <c r="M11" s="25">
        <v>0.03577954723257393</v>
      </c>
      <c r="N11" s="25">
        <v>0.07515698846611896</v>
      </c>
      <c r="O11" s="25">
        <v>0.1988379429810891</v>
      </c>
      <c r="P11" s="27">
        <v>0.8336862367661213</v>
      </c>
      <c r="Q11" s="28">
        <v>3.616024012930039</v>
      </c>
      <c r="R11" s="24" t="s">
        <v>174</v>
      </c>
      <c r="S11" s="28">
        <v>1.124534121578203</v>
      </c>
      <c r="T11" s="27">
        <v>0.2</v>
      </c>
      <c r="U11" s="25">
        <v>0</v>
      </c>
      <c r="V11" s="28">
        <v>62.1</v>
      </c>
      <c r="W11" s="6" t="s">
        <v>164</v>
      </c>
      <c r="X11" s="23">
        <v>0</v>
      </c>
      <c r="Y11" s="28">
        <v>25.2</v>
      </c>
    </row>
    <row r="12" spans="2:25" x14ac:dyDescent="0.25">
      <c r="B12" s="29" t="s">
        <v>175</v>
      </c>
      <c r="C12" s="29" t="s">
        <v>98</v>
      </c>
      <c r="D12" s="29" t="s">
        <v>176</v>
      </c>
      <c r="E12" s="29" t="s">
        <v>155</v>
      </c>
      <c r="F12" s="24" t="s">
        <v>177</v>
      </c>
      <c r="G12" s="23">
        <v>3731381.85</v>
      </c>
      <c r="H12" s="27">
        <v>0.05694914357905642</v>
      </c>
      <c r="I12" s="27">
        <v>0.4109006731189071</v>
      </c>
      <c r="J12" s="24" t="s">
        <v>178</v>
      </c>
      <c r="K12" s="26">
        <v>127.1729610442725</v>
      </c>
      <c r="L12" s="28">
        <v>0.8613593501669741</v>
      </c>
      <c r="M12" s="25">
        <v>0.021995429783354</v>
      </c>
      <c r="N12" s="25">
        <v>0.05928429333272622</v>
      </c>
      <c r="O12" s="25">
        <v>0.1959455663227561</v>
      </c>
      <c r="P12" s="27">
        <v>0.8404964801778436</v>
      </c>
      <c r="Q12" s="28">
        <v>3.582323121005069</v>
      </c>
      <c r="R12" s="24" t="s">
        <v>179</v>
      </c>
      <c r="S12" s="28">
        <v>1.533690058280222</v>
      </c>
      <c r="T12" s="27">
        <v>0.2888888888888889</v>
      </c>
      <c r="U12" s="25">
        <v>0.3333333333333333</v>
      </c>
      <c r="V12" s="28">
        <v>34.8</v>
      </c>
      <c r="W12" s="29" t="s">
        <v>180</v>
      </c>
      <c r="X12" s="23">
        <v>0</v>
      </c>
      <c r="Y12" s="28">
        <v>43.2</v>
      </c>
    </row>
    <row r="13" spans="2:25" x14ac:dyDescent="0.25">
      <c r="B13" s="6" t="s">
        <v>181</v>
      </c>
      <c r="C13" s="6" t="s">
        <v>104</v>
      </c>
      <c r="D13" s="6" t="s">
        <v>147</v>
      </c>
      <c r="E13" s="6" t="s">
        <v>148</v>
      </c>
      <c r="F13" s="24" t="s">
        <v>182</v>
      </c>
      <c r="G13" s="23">
        <v>3548946.510000001</v>
      </c>
      <c r="H13" s="27">
        <v>0.05416477661014008</v>
      </c>
      <c r="I13" s="27">
        <v>0.4650654497290472</v>
      </c>
      <c r="J13" s="24" t="s">
        <v>183</v>
      </c>
      <c r="K13" s="26">
        <v>127.3621571864346</v>
      </c>
      <c r="L13" s="28">
        <v>1.177251656891368</v>
      </c>
      <c r="M13" s="25">
        <v>0.05417720895365563</v>
      </c>
      <c r="N13" s="25">
        <v>0.08287398977552995</v>
      </c>
      <c r="O13" s="25">
        <v>0.2033791780642056</v>
      </c>
      <c r="P13" s="27">
        <v>0.8331798932056711</v>
      </c>
      <c r="Q13" s="28">
        <v>3.48</v>
      </c>
      <c r="R13" s="24" t="s">
        <v>184</v>
      </c>
      <c r="S13" s="28">
        <v>2.870985106764758</v>
      </c>
      <c r="T13" s="27">
        <v>0.2625</v>
      </c>
      <c r="U13" s="25">
        <v>-0.1081081081081081</v>
      </c>
      <c r="V13" s="28">
        <v>68.3</v>
      </c>
      <c r="W13" s="6" t="s">
        <v>164</v>
      </c>
      <c r="X13" s="23">
        <v>0</v>
      </c>
      <c r="Y13" s="28">
        <v>21.5</v>
      </c>
    </row>
    <row r="14" spans="2:25" x14ac:dyDescent="0.25">
      <c r="B14" s="29" t="s">
        <v>185</v>
      </c>
      <c r="C14" s="29" t="s">
        <v>106</v>
      </c>
      <c r="D14" s="29" t="s">
        <v>166</v>
      </c>
      <c r="E14" s="29" t="s">
        <v>155</v>
      </c>
      <c r="F14" s="24" t="s">
        <v>186</v>
      </c>
      <c r="G14" s="23">
        <v>3325306.26</v>
      </c>
      <c r="H14" s="27">
        <v>0.05075153153920045</v>
      </c>
      <c r="I14" s="27">
        <v>0.5158169812682476</v>
      </c>
      <c r="J14" s="24" t="s">
        <v>187</v>
      </c>
      <c r="K14" s="26">
        <v>127.6215175007676</v>
      </c>
      <c r="L14" s="28">
        <v>1.0548027488224</v>
      </c>
      <c r="M14" s="25">
        <v>-0.002665437988515484</v>
      </c>
      <c r="N14" s="25">
        <v>-0.05863072962535643</v>
      </c>
      <c r="O14" s="25">
        <v>0.1023311238327087</v>
      </c>
      <c r="P14" s="27">
        <v>0.8375730167703034</v>
      </c>
      <c r="Q14" s="28">
        <v>3.559055118110236</v>
      </c>
      <c r="R14" s="24" t="s">
        <v>188</v>
      </c>
      <c r="S14" s="28">
        <v>1.84218606079214</v>
      </c>
      <c r="T14" s="27">
        <v>0.3333333333333333</v>
      </c>
      <c r="U14" s="25">
        <v>0.2857142857142858</v>
      </c>
      <c r="V14" s="28">
        <v>24</v>
      </c>
      <c r="W14" s="29" t="s">
        <v>180</v>
      </c>
      <c r="X14" s="23">
        <v>354163.199999999</v>
      </c>
      <c r="Y14" s="28">
        <v>80.90000000000001</v>
      </c>
    </row>
    <row r="15" spans="2:25" x14ac:dyDescent="0.25">
      <c r="B15" s="6" t="s">
        <v>189</v>
      </c>
      <c r="C15" s="6" t="s">
        <v>100</v>
      </c>
      <c r="D15" s="6" t="s">
        <v>147</v>
      </c>
      <c r="E15" s="6" t="s">
        <v>167</v>
      </c>
      <c r="F15" s="24" t="s">
        <v>190</v>
      </c>
      <c r="G15" s="23">
        <v>3265565.26</v>
      </c>
      <c r="H15" s="27">
        <v>0.04983975168837751</v>
      </c>
      <c r="I15" s="27">
        <v>0.5656567329566251</v>
      </c>
      <c r="J15" s="24" t="s">
        <v>191</v>
      </c>
      <c r="K15" s="26">
        <v>127.9008796804011</v>
      </c>
      <c r="L15" s="28">
        <v>1.264183598339707</v>
      </c>
      <c r="M15" s="25">
        <v>0.04212095109254643</v>
      </c>
      <c r="N15" s="25">
        <v>0.07424020549267141</v>
      </c>
      <c r="O15" s="25">
        <v>0.1884683480176461</v>
      </c>
      <c r="P15" s="27">
        <v>0.8485719762315507</v>
      </c>
      <c r="Q15" s="28">
        <v>3.694601310142309</v>
      </c>
      <c r="R15" s="24" t="s">
        <v>192</v>
      </c>
      <c r="S15" s="28">
        <v>1.723327588908037</v>
      </c>
      <c r="T15" s="27">
        <v>0.2045454545454546</v>
      </c>
      <c r="U15" s="25">
        <v>0.6875</v>
      </c>
      <c r="V15" s="28">
        <v>62.1</v>
      </c>
      <c r="W15" s="6" t="s">
        <v>164</v>
      </c>
      <c r="X15" s="23">
        <v>0</v>
      </c>
      <c r="Y15" s="28">
        <v>30.8</v>
      </c>
    </row>
    <row r="16" spans="2:25" x14ac:dyDescent="0.25">
      <c r="B16" s="29" t="s">
        <v>193</v>
      </c>
      <c r="C16" s="29" t="s">
        <v>102</v>
      </c>
      <c r="D16" s="29" t="s">
        <v>166</v>
      </c>
      <c r="E16" s="29" t="s">
        <v>194</v>
      </c>
      <c r="F16" s="24" t="s">
        <v>195</v>
      </c>
      <c r="G16" s="23">
        <v>3185149.79</v>
      </c>
      <c r="H16" s="27">
        <v>0.04861243367829304</v>
      </c>
      <c r="I16" s="27">
        <v>0.6142691666349182</v>
      </c>
      <c r="J16" s="24" t="s">
        <v>196</v>
      </c>
      <c r="K16" s="26">
        <v>128.2886172869341</v>
      </c>
      <c r="L16" s="28">
        <v>1.316860710208791</v>
      </c>
      <c r="M16" s="25">
        <v>0.0298512484092277</v>
      </c>
      <c r="N16" s="25">
        <v>0.05187249952528172</v>
      </c>
      <c r="O16" s="25">
        <v>0.181365401156514</v>
      </c>
      <c r="P16" s="27">
        <v>0.8366318147871546</v>
      </c>
      <c r="Q16" s="28">
        <v>3.822137915643829</v>
      </c>
      <c r="R16" s="24" t="s">
        <v>197</v>
      </c>
      <c r="S16" s="28">
        <v>1.208313194780087</v>
      </c>
      <c r="T16" s="27">
        <v>0.3333333333333333</v>
      </c>
      <c r="U16" s="25">
        <v>-0.7692307692307692</v>
      </c>
      <c r="V16" s="28">
        <v>44.4</v>
      </c>
      <c r="W16" s="29" t="s">
        <v>152</v>
      </c>
      <c r="X16" s="23">
        <v>0</v>
      </c>
      <c r="Y16" s="28">
        <v>27.8</v>
      </c>
    </row>
    <row r="17" spans="2:25" x14ac:dyDescent="0.25">
      <c r="B17" s="6" t="s">
        <v>198</v>
      </c>
      <c r="C17" s="6" t="s">
        <v>98</v>
      </c>
      <c r="D17" s="6" t="s">
        <v>147</v>
      </c>
      <c r="E17" s="6" t="s">
        <v>148</v>
      </c>
      <c r="F17" s="24" t="s">
        <v>199</v>
      </c>
      <c r="G17" s="23">
        <v>3040622.49</v>
      </c>
      <c r="H17" s="27">
        <v>0.04640662728011019</v>
      </c>
      <c r="I17" s="27">
        <v>0.6606757939150283</v>
      </c>
      <c r="J17" s="24" t="s">
        <v>200</v>
      </c>
      <c r="K17" s="26">
        <v>127.5642930860883</v>
      </c>
      <c r="L17" s="28">
        <v>0.7833502440810605</v>
      </c>
      <c r="M17" s="25">
        <v>0.01325985899132709</v>
      </c>
      <c r="N17" s="25">
        <v>0.04747176861700297</v>
      </c>
      <c r="O17" s="25">
        <v>0.18619150739753</v>
      </c>
      <c r="P17" s="27">
        <v>0.8333967287942183</v>
      </c>
      <c r="Q17" s="28">
        <v>3.567320858055683</v>
      </c>
      <c r="R17" s="24" t="s">
        <v>197</v>
      </c>
      <c r="S17" s="28">
        <v>1.258600436314818</v>
      </c>
      <c r="T17" s="27">
        <v>0.2666666666666667</v>
      </c>
      <c r="U17" s="25">
        <v>1.181818181818182</v>
      </c>
      <c r="V17" s="28">
        <v>24</v>
      </c>
      <c r="W17" s="6" t="s">
        <v>180</v>
      </c>
      <c r="X17" s="23">
        <v>0</v>
      </c>
      <c r="Y17" s="28">
        <v>51.1</v>
      </c>
    </row>
    <row r="18" spans="2:25" x14ac:dyDescent="0.25">
      <c r="B18" s="29" t="s">
        <v>201</v>
      </c>
      <c r="C18" s="29" t="s">
        <v>102</v>
      </c>
      <c r="D18" s="29" t="s">
        <v>176</v>
      </c>
      <c r="E18" s="29" t="s">
        <v>155</v>
      </c>
      <c r="F18" s="24" t="s">
        <v>202</v>
      </c>
      <c r="G18" s="23">
        <v>3029370.800000001</v>
      </c>
      <c r="H18" s="27">
        <v>0.04623490159373559</v>
      </c>
      <c r="I18" s="27">
        <v>0.7069106955087638</v>
      </c>
      <c r="J18" s="24" t="s">
        <v>203</v>
      </c>
      <c r="K18" s="26">
        <v>129.4105173223974</v>
      </c>
      <c r="L18" s="28">
        <v>1.218880640957541</v>
      </c>
      <c r="M18" s="25">
        <v>0.04978180586867298</v>
      </c>
      <c r="N18" s="25">
        <v>0.06942401359194439</v>
      </c>
      <c r="O18" s="25">
        <v>0.2005061266967982</v>
      </c>
      <c r="P18" s="27">
        <v>0.8328882106066386</v>
      </c>
      <c r="Q18" s="28">
        <v>3.884562528630325</v>
      </c>
      <c r="R18" s="24" t="s">
        <v>204</v>
      </c>
      <c r="S18" s="28">
        <v>1.751463112478107</v>
      </c>
      <c r="T18" s="27">
        <v>0.1707317073170732</v>
      </c>
      <c r="U18" s="25">
        <v>-0.2857142857142857</v>
      </c>
      <c r="V18" s="28">
        <v>61.5</v>
      </c>
      <c r="W18" s="29" t="s">
        <v>164</v>
      </c>
      <c r="X18" s="23">
        <v>0</v>
      </c>
      <c r="Y18" s="28">
        <v>23</v>
      </c>
    </row>
    <row r="19" spans="2:25" x14ac:dyDescent="0.25">
      <c r="B19" s="6" t="s">
        <v>205</v>
      </c>
      <c r="C19" s="6" t="s">
        <v>106</v>
      </c>
      <c r="D19" s="6" t="s">
        <v>147</v>
      </c>
      <c r="E19" s="6" t="s">
        <v>206</v>
      </c>
      <c r="F19" s="24" t="s">
        <v>207</v>
      </c>
      <c r="G19" s="23">
        <v>2613183.07</v>
      </c>
      <c r="H19" s="27">
        <v>0.03988295592202375</v>
      </c>
      <c r="I19" s="27">
        <v>0.7467936514307876</v>
      </c>
      <c r="J19" s="24" t="s">
        <v>208</v>
      </c>
      <c r="K19" s="26">
        <v>128.3236628363779</v>
      </c>
      <c r="L19" s="28">
        <v>0.8812576685855146</v>
      </c>
      <c r="M19" s="25">
        <v>0.05710896450720204</v>
      </c>
      <c r="N19" s="25">
        <v>-0.01867062428547051</v>
      </c>
      <c r="O19" s="25">
        <v>0.09085219655105736</v>
      </c>
      <c r="P19" s="27">
        <v>0.8426309837919337</v>
      </c>
      <c r="Q19" s="28">
        <v>3.479982106911205</v>
      </c>
      <c r="R19" s="24" t="s">
        <v>209</v>
      </c>
      <c r="S19" s="28">
        <v>1.129444117069338</v>
      </c>
      <c r="T19" s="27">
        <v>0.1739130434782609</v>
      </c>
      <c r="U19" s="25">
        <v>1</v>
      </c>
      <c r="V19" s="28">
        <v>40.4</v>
      </c>
      <c r="W19" s="6" t="s">
        <v>152</v>
      </c>
      <c r="X19" s="23">
        <v>87168.91999999853</v>
      </c>
      <c r="Y19" s="28">
        <v>72.90000000000001</v>
      </c>
    </row>
    <row r="20" spans="2:25" x14ac:dyDescent="0.25">
      <c r="B20" s="29" t="s">
        <v>210</v>
      </c>
      <c r="C20" s="29" t="s">
        <v>98</v>
      </c>
      <c r="D20" s="29" t="s">
        <v>154</v>
      </c>
      <c r="E20" s="29" t="s">
        <v>167</v>
      </c>
      <c r="F20" s="24" t="s">
        <v>211</v>
      </c>
      <c r="G20" s="23">
        <v>2196476.669999999</v>
      </c>
      <c r="H20" s="27">
        <v>0.03352309419843421</v>
      </c>
      <c r="I20" s="27">
        <v>0.7803167456292218</v>
      </c>
      <c r="J20" s="24" t="s">
        <v>212</v>
      </c>
      <c r="K20" s="26">
        <v>129.7463919900762</v>
      </c>
      <c r="L20" s="28">
        <v>0.6225187167470945</v>
      </c>
      <c r="M20" s="25">
        <v>0.05459697195468194</v>
      </c>
      <c r="N20" s="25">
        <v>0.07988089022829992</v>
      </c>
      <c r="O20" s="25">
        <v>0.204226299279668</v>
      </c>
      <c r="P20" s="27">
        <v>0.8444187391555813</v>
      </c>
      <c r="Q20" s="28">
        <v>3.510958904109589</v>
      </c>
      <c r="R20" s="24" t="s">
        <v>213</v>
      </c>
      <c r="S20" s="28">
        <v>6.438655561462579</v>
      </c>
      <c r="T20" s="27">
        <v>0.2935779816513762</v>
      </c>
      <c r="U20" s="25">
        <v>0.1333333333333333</v>
      </c>
      <c r="V20" s="28">
        <v>61.7</v>
      </c>
      <c r="W20" s="29" t="s">
        <v>164</v>
      </c>
      <c r="X20" s="23">
        <v>0</v>
      </c>
      <c r="Y20" s="28">
        <v>27.3</v>
      </c>
    </row>
    <row r="21" spans="2:25" x14ac:dyDescent="0.25">
      <c r="B21" s="6" t="s">
        <v>214</v>
      </c>
      <c r="C21" s="6" t="s">
        <v>98</v>
      </c>
      <c r="D21" s="6" t="s">
        <v>154</v>
      </c>
      <c r="E21" s="6" t="s">
        <v>206</v>
      </c>
      <c r="F21" s="24" t="s">
        <v>215</v>
      </c>
      <c r="G21" s="23">
        <v>2138321.620000001</v>
      </c>
      <c r="H21" s="27">
        <v>0.03263551945389362</v>
      </c>
      <c r="I21" s="27">
        <v>0.8129522650831155</v>
      </c>
      <c r="J21" s="24" t="s">
        <v>216</v>
      </c>
      <c r="K21" s="26">
        <v>129.4540271219276</v>
      </c>
      <c r="L21" s="28">
        <v>0.6219998673526385</v>
      </c>
      <c r="M21" s="25">
        <v>0.02730199547258882</v>
      </c>
      <c r="N21" s="25">
        <v>0.06451733830360351</v>
      </c>
      <c r="O21" s="25">
        <v>0.2194729041804029</v>
      </c>
      <c r="P21" s="27">
        <v>0.8462742030119303</v>
      </c>
      <c r="Q21" s="28">
        <v>3.433787843771666</v>
      </c>
      <c r="R21" s="24" t="s">
        <v>217</v>
      </c>
      <c r="S21" s="28">
        <v>3.753481050974694</v>
      </c>
      <c r="T21" s="27">
        <v>0.2096774193548387</v>
      </c>
      <c r="U21" s="25">
        <v>-0.5</v>
      </c>
      <c r="V21" s="28">
        <v>56.5</v>
      </c>
      <c r="W21" s="6" t="s">
        <v>164</v>
      </c>
      <c r="X21" s="23">
        <v>0</v>
      </c>
      <c r="Y21" s="28">
        <v>23</v>
      </c>
    </row>
    <row r="22" spans="2:25" x14ac:dyDescent="0.25">
      <c r="B22" s="29" t="s">
        <v>218</v>
      </c>
      <c r="C22" s="29" t="s">
        <v>106</v>
      </c>
      <c r="D22" s="29" t="s">
        <v>176</v>
      </c>
      <c r="E22" s="29" t="s">
        <v>194</v>
      </c>
      <c r="F22" s="24" t="s">
        <v>219</v>
      </c>
      <c r="G22" s="23">
        <v>2066202.17</v>
      </c>
      <c r="H22" s="27">
        <v>0.03153481706587814</v>
      </c>
      <c r="I22" s="27">
        <v>0.8444870821489936</v>
      </c>
      <c r="J22" s="24" t="s">
        <v>220</v>
      </c>
      <c r="K22" s="26">
        <v>128.1206777453959</v>
      </c>
      <c r="L22" s="28">
        <v>0.972879397511112</v>
      </c>
      <c r="M22" s="25">
        <v>0.03992899593727639</v>
      </c>
      <c r="N22" s="25">
        <v>-0.04151434902126672</v>
      </c>
      <c r="O22" s="25">
        <v>0.0817548917917601</v>
      </c>
      <c r="P22" s="27">
        <v>0.8262819263014233</v>
      </c>
      <c r="Q22" s="28">
        <v>3.434403020292591</v>
      </c>
      <c r="R22" s="24" t="s">
        <v>221</v>
      </c>
      <c r="S22" s="28">
        <v>1.984250015501953</v>
      </c>
      <c r="T22" s="27">
        <v>0.3125</v>
      </c>
      <c r="U22" s="25">
        <v>0</v>
      </c>
      <c r="V22" s="28">
        <v>31.2</v>
      </c>
      <c r="W22" s="29" t="s">
        <v>180</v>
      </c>
      <c r="X22" s="23">
        <v>154045.0000000005</v>
      </c>
      <c r="Y22" s="28">
        <v>72.7</v>
      </c>
    </row>
    <row r="23" spans="2:25" x14ac:dyDescent="0.25">
      <c r="B23" s="6" t="s">
        <v>222</v>
      </c>
      <c r="C23" s="6" t="s">
        <v>98</v>
      </c>
      <c r="D23" s="6" t="s">
        <v>154</v>
      </c>
      <c r="E23" s="6" t="s">
        <v>206</v>
      </c>
      <c r="F23" s="24" t="s">
        <v>223</v>
      </c>
      <c r="G23" s="23">
        <v>1694276.03</v>
      </c>
      <c r="H23" s="27">
        <v>0.02585840119660327</v>
      </c>
      <c r="I23" s="27">
        <v>0.8703454833455969</v>
      </c>
      <c r="J23" s="24" t="s">
        <v>224</v>
      </c>
      <c r="K23" s="26">
        <v>131.0344957463264</v>
      </c>
      <c r="L23" s="28">
        <v>0.6200453092620791</v>
      </c>
      <c r="M23" s="25">
        <v>0.02973172123893075</v>
      </c>
      <c r="N23" s="25">
        <v>0.06196206603931609</v>
      </c>
      <c r="O23" s="25">
        <v>0.2037209177351911</v>
      </c>
      <c r="P23" s="27">
        <v>0.8340663734506197</v>
      </c>
      <c r="Q23" s="28">
        <v>3.634228187919463</v>
      </c>
      <c r="R23" s="24" t="s">
        <v>225</v>
      </c>
      <c r="S23" s="28">
        <v>5.877803557617943</v>
      </c>
      <c r="T23" s="27">
        <v>0.2105263157894737</v>
      </c>
      <c r="U23" s="25">
        <v>0.2580645161290323</v>
      </c>
      <c r="V23" s="28">
        <v>37.3</v>
      </c>
      <c r="W23" s="6" t="s">
        <v>152</v>
      </c>
      <c r="X23" s="23">
        <v>0</v>
      </c>
      <c r="Y23" s="28">
        <v>40.1</v>
      </c>
    </row>
    <row r="24" spans="2:25" x14ac:dyDescent="0.25">
      <c r="B24" s="29" t="s">
        <v>226</v>
      </c>
      <c r="C24" s="29" t="s">
        <v>98</v>
      </c>
      <c r="D24" s="29" t="s">
        <v>166</v>
      </c>
      <c r="E24" s="29" t="s">
        <v>206</v>
      </c>
      <c r="F24" s="24" t="s">
        <v>227</v>
      </c>
      <c r="G24" s="23">
        <v>1693657.85</v>
      </c>
      <c r="H24" s="27">
        <v>0.02584896640193659</v>
      </c>
      <c r="I24" s="27">
        <v>0.8961944497475335</v>
      </c>
      <c r="J24" s="24" t="s">
        <v>228</v>
      </c>
      <c r="K24" s="26">
        <v>129.4944452939827</v>
      </c>
      <c r="L24" s="28">
        <v>0.920496159386481</v>
      </c>
      <c r="M24" s="25">
        <v>0.0325293205369841</v>
      </c>
      <c r="N24" s="25">
        <v>0.0664061657893098</v>
      </c>
      <c r="O24" s="25">
        <v>0.2084336594423333</v>
      </c>
      <c r="P24" s="27">
        <v>0.840620592383639</v>
      </c>
      <c r="Q24" s="28">
        <v>3.456136145733461</v>
      </c>
      <c r="R24" s="24" t="s">
        <v>229</v>
      </c>
      <c r="S24" s="28">
        <v>3.287713127914978</v>
      </c>
      <c r="T24" s="27">
        <v>0.1627906976744186</v>
      </c>
      <c r="U24" s="25">
        <v>0.3125</v>
      </c>
      <c r="V24" s="28">
        <v>57.3</v>
      </c>
      <c r="W24" s="29" t="s">
        <v>164</v>
      </c>
      <c r="X24" s="23">
        <v>0</v>
      </c>
      <c r="Y24" s="28">
        <v>31.4</v>
      </c>
    </row>
    <row r="25" spans="2:25" x14ac:dyDescent="0.25">
      <c r="B25" s="6" t="s">
        <v>230</v>
      </c>
      <c r="C25" s="6" t="s">
        <v>98</v>
      </c>
      <c r="D25" s="6" t="s">
        <v>147</v>
      </c>
      <c r="E25" s="6" t="s">
        <v>167</v>
      </c>
      <c r="F25" s="24" t="s">
        <v>231</v>
      </c>
      <c r="G25" s="23">
        <v>1502983.68</v>
      </c>
      <c r="H25" s="27">
        <v>0.02293885665689739</v>
      </c>
      <c r="I25" s="27">
        <v>0.9191333064044309</v>
      </c>
      <c r="J25" s="24" t="s">
        <v>232</v>
      </c>
      <c r="K25" s="26">
        <v>130.8877192371332</v>
      </c>
      <c r="L25" s="28">
        <v>0.7869719083191771</v>
      </c>
      <c r="M25" s="25">
        <v>0.03469701246956669</v>
      </c>
      <c r="N25" s="25">
        <v>0.08677382015040824</v>
      </c>
      <c r="O25" s="25">
        <v>0.2246471007403996</v>
      </c>
      <c r="P25" s="27">
        <v>0.845948717948718</v>
      </c>
      <c r="Q25" s="28">
        <v>3.576382153249273</v>
      </c>
      <c r="R25" s="24" t="s">
        <v>229</v>
      </c>
      <c r="S25" s="28">
        <v>3.744666028041453</v>
      </c>
      <c r="T25" s="27">
        <v>0.2558139534883721</v>
      </c>
      <c r="U25" s="25">
        <v>1.2</v>
      </c>
      <c r="V25" s="28">
        <v>61.3</v>
      </c>
      <c r="W25" s="6" t="s">
        <v>164</v>
      </c>
      <c r="X25" s="23">
        <v>0</v>
      </c>
      <c r="Y25" s="28">
        <v>33.1</v>
      </c>
    </row>
    <row r="26" spans="2:25" x14ac:dyDescent="0.25">
      <c r="B26" s="29" t="s">
        <v>233</v>
      </c>
      <c r="C26" s="29" t="s">
        <v>104</v>
      </c>
      <c r="D26" s="29" t="s">
        <v>147</v>
      </c>
      <c r="E26" s="29" t="s">
        <v>148</v>
      </c>
      <c r="F26" s="24" t="s">
        <v>234</v>
      </c>
      <c r="G26" s="23">
        <v>1432312.7</v>
      </c>
      <c r="H26" s="27">
        <v>0.02186026112615785</v>
      </c>
      <c r="I26" s="27">
        <v>0.9409935675305887</v>
      </c>
      <c r="J26" s="24" t="s">
        <v>235</v>
      </c>
      <c r="K26" s="26">
        <v>130.9004478157558</v>
      </c>
      <c r="L26" s="28">
        <v>1.171856502290931</v>
      </c>
      <c r="M26" s="25">
        <v>0.005872369808696432</v>
      </c>
      <c r="N26" s="25">
        <v>0.03829557212265389</v>
      </c>
      <c r="O26" s="25">
        <v>0.2002139979440627</v>
      </c>
      <c r="P26" s="27">
        <v>0.8471458773784355</v>
      </c>
      <c r="Q26" s="28">
        <v>3.580733715997005</v>
      </c>
      <c r="R26" s="24" t="s">
        <v>197</v>
      </c>
      <c r="S26" s="28">
        <v>2.741729117163224</v>
      </c>
      <c r="T26" s="27">
        <v>0.3</v>
      </c>
      <c r="U26" s="25">
        <v>0</v>
      </c>
      <c r="V26" s="28">
        <v>43.5</v>
      </c>
      <c r="W26" s="29" t="s">
        <v>152</v>
      </c>
      <c r="X26" s="23">
        <v>0</v>
      </c>
      <c r="Y26" s="28">
        <v>34.5</v>
      </c>
    </row>
    <row r="27" spans="2:25" x14ac:dyDescent="0.25">
      <c r="B27" s="6" t="s">
        <v>236</v>
      </c>
      <c r="C27" s="6" t="s">
        <v>102</v>
      </c>
      <c r="D27" s="6" t="s">
        <v>154</v>
      </c>
      <c r="E27" s="6" t="s">
        <v>155</v>
      </c>
      <c r="F27" s="24" t="s">
        <v>237</v>
      </c>
      <c r="G27" s="23">
        <v>1077657.92</v>
      </c>
      <c r="H27" s="27">
        <v>0.01644744442737409</v>
      </c>
      <c r="I27" s="27">
        <v>0.9574410119579628</v>
      </c>
      <c r="J27" s="24" t="s">
        <v>238</v>
      </c>
      <c r="K27" s="26">
        <v>131.4697962669269</v>
      </c>
      <c r="L27" s="28">
        <v>0.8745012747388388</v>
      </c>
      <c r="M27" s="25">
        <v>0.07005587192868079</v>
      </c>
      <c r="N27" s="25">
        <v>0.09160901199385929</v>
      </c>
      <c r="O27" s="25">
        <v>0.1970603046550292</v>
      </c>
      <c r="P27" s="27">
        <v>0.8513805522208884</v>
      </c>
      <c r="Q27" s="28">
        <v>3.841229554427524</v>
      </c>
      <c r="R27" s="24" t="s">
        <v>239</v>
      </c>
      <c r="S27" s="28">
        <v>8.417713797730878</v>
      </c>
      <c r="T27" s="27">
        <v>0.2318840579710145</v>
      </c>
      <c r="U27" s="25">
        <v>-0.4324324324324325</v>
      </c>
      <c r="V27" s="28">
        <v>71.2</v>
      </c>
      <c r="W27" s="6" t="s">
        <v>164</v>
      </c>
      <c r="X27" s="23">
        <v>0</v>
      </c>
      <c r="Y27" s="28">
        <v>16.9</v>
      </c>
    </row>
    <row r="28" spans="2:25" x14ac:dyDescent="0.25">
      <c r="B28" s="29" t="s">
        <v>240</v>
      </c>
      <c r="C28" s="29" t="s">
        <v>98</v>
      </c>
      <c r="D28" s="29" t="s">
        <v>166</v>
      </c>
      <c r="E28" s="29" t="s">
        <v>194</v>
      </c>
      <c r="F28" s="24" t="s">
        <v>241</v>
      </c>
      <c r="G28" s="23">
        <v>822002.7800000001</v>
      </c>
      <c r="H28" s="27">
        <v>0.0125455812946626</v>
      </c>
      <c r="I28" s="27">
        <v>0.9699865932526255</v>
      </c>
      <c r="J28" s="24" t="s">
        <v>242</v>
      </c>
      <c r="K28" s="26">
        <v>136.2736704244032</v>
      </c>
      <c r="L28" s="28">
        <v>0.9237915165697672</v>
      </c>
      <c r="M28" s="25">
        <v>0.0544466693322414</v>
      </c>
      <c r="N28" s="25">
        <v>0.05609316017430444</v>
      </c>
      <c r="O28" s="25">
        <v>0.2059186703056921</v>
      </c>
      <c r="P28" s="27">
        <v>0.8585997794928335</v>
      </c>
      <c r="Q28" s="28">
        <v>3.640128410914928</v>
      </c>
      <c r="R28" s="24" t="s">
        <v>243</v>
      </c>
      <c r="S28" s="28">
        <v>6.46551724137931</v>
      </c>
      <c r="T28" s="27">
        <v>0.2564102564102564</v>
      </c>
      <c r="U28" s="25">
        <v>-0.4782608695652174</v>
      </c>
      <c r="V28" s="28">
        <v>62.3</v>
      </c>
      <c r="W28" s="29" t="s">
        <v>164</v>
      </c>
      <c r="X28" s="23">
        <v>0</v>
      </c>
      <c r="Y28" s="28">
        <v>20.7</v>
      </c>
    </row>
    <row r="29" spans="2:25" x14ac:dyDescent="0.25">
      <c r="B29" s="6" t="s">
        <v>244</v>
      </c>
      <c r="C29" s="6" t="s">
        <v>106</v>
      </c>
      <c r="D29" s="6" t="s">
        <v>176</v>
      </c>
      <c r="E29" s="6" t="s">
        <v>206</v>
      </c>
      <c r="F29" s="24" t="s">
        <v>209</v>
      </c>
      <c r="G29" s="23">
        <v>776438.0900000001</v>
      </c>
      <c r="H29" s="27">
        <v>0.01185016330281457</v>
      </c>
      <c r="I29" s="27">
        <v>0.98183675655544</v>
      </c>
      <c r="J29" s="24" t="s">
        <v>245</v>
      </c>
      <c r="K29" s="26">
        <v>136.9862544107269</v>
      </c>
      <c r="L29" s="28">
        <v>0.9661490398560668</v>
      </c>
      <c r="M29" s="25">
        <v>0.03838944526905941</v>
      </c>
      <c r="N29" s="25">
        <v>-0.03485070044821303</v>
      </c>
      <c r="O29" s="25">
        <v>0.09094085678371688</v>
      </c>
      <c r="P29" s="27">
        <v>0.8675441052926351</v>
      </c>
      <c r="Q29" s="28">
        <v>3.540994189799871</v>
      </c>
      <c r="R29" s="24" t="s">
        <v>192</v>
      </c>
      <c r="S29" s="28">
        <v>7.76287932251235</v>
      </c>
      <c r="T29" s="27">
        <v>0.3409090909090909</v>
      </c>
      <c r="U29" s="25">
        <v>-0.5263157894736842</v>
      </c>
      <c r="V29" s="28">
        <v>45</v>
      </c>
      <c r="W29" s="6" t="s">
        <v>152</v>
      </c>
      <c r="X29" s="23">
        <v>48625.72000000079</v>
      </c>
      <c r="Y29" s="28">
        <v>57.3</v>
      </c>
    </row>
    <row r="30" spans="2:25" x14ac:dyDescent="0.25">
      <c r="B30" s="29" t="s">
        <v>246</v>
      </c>
      <c r="C30" s="29" t="s">
        <v>98</v>
      </c>
      <c r="D30" s="29" t="s">
        <v>147</v>
      </c>
      <c r="E30" s="29" t="s">
        <v>155</v>
      </c>
      <c r="F30" s="24" t="s">
        <v>247</v>
      </c>
      <c r="G30" s="23">
        <v>684341.39</v>
      </c>
      <c r="H30" s="27">
        <v>0.01044456387549858</v>
      </c>
      <c r="I30" s="27">
        <v>0.9922813204309385</v>
      </c>
      <c r="J30" s="24" t="s">
        <v>248</v>
      </c>
      <c r="K30" s="26">
        <v>138.1391582559548</v>
      </c>
      <c r="L30" s="28">
        <v>0.7216014632777048</v>
      </c>
      <c r="M30" s="25">
        <v>-0.4474136558763776</v>
      </c>
      <c r="N30" s="25">
        <v>-0.4251582260824904</v>
      </c>
      <c r="O30" s="25">
        <v>0.03142880784186808</v>
      </c>
      <c r="P30" s="27">
        <v>0.8431740081224617</v>
      </c>
      <c r="Q30" s="28">
        <v>3.36494998147462</v>
      </c>
      <c r="R30" s="24" t="s">
        <v>239</v>
      </c>
      <c r="S30" s="28">
        <v>13.92813887767461</v>
      </c>
      <c r="T30" s="27">
        <v>0.1884057971014493</v>
      </c>
      <c r="U30" s="25">
        <v>6.928571428571428</v>
      </c>
      <c r="V30" s="28">
        <v>17.3</v>
      </c>
      <c r="W30" s="29" t="s">
        <v>180</v>
      </c>
      <c r="X30" s="23">
        <v>571517.8399999997</v>
      </c>
      <c r="Y30" s="28">
        <v>91.40000000000001</v>
      </c>
    </row>
    <row r="31" spans="2:25" x14ac:dyDescent="0.25">
      <c r="B31" s="6" t="s">
        <v>249</v>
      </c>
      <c r="C31" s="6" t="s">
        <v>98</v>
      </c>
      <c r="D31" s="6" t="s">
        <v>154</v>
      </c>
      <c r="E31" s="6" t="s">
        <v>194</v>
      </c>
      <c r="F31" s="24" t="s">
        <v>250</v>
      </c>
      <c r="G31" s="23">
        <v>505737.91</v>
      </c>
      <c r="H31" s="27">
        <v>0.007718679569061503</v>
      </c>
      <c r="I31" s="27">
        <v>1</v>
      </c>
      <c r="J31" s="24" t="s">
        <v>251</v>
      </c>
      <c r="K31" s="26">
        <v>143.7980978106341</v>
      </c>
      <c r="L31" s="28">
        <v>0.6250972649004457</v>
      </c>
      <c r="M31" s="25">
        <v>-0.009751377354366597</v>
      </c>
      <c r="N31" s="25">
        <v>0.02266421547532893</v>
      </c>
      <c r="O31" s="25">
        <v>0.2217393233952665</v>
      </c>
      <c r="P31" s="27">
        <v>0.8576908323743767</v>
      </c>
      <c r="Q31" s="28">
        <v>3.478085867620751</v>
      </c>
      <c r="R31" s="24" t="s">
        <v>252</v>
      </c>
      <c r="S31" s="28">
        <v>18.76599374466875</v>
      </c>
      <c r="T31" s="27">
        <v>0.2424242424242424</v>
      </c>
      <c r="U31" s="25">
        <v>-0.1428571428571429</v>
      </c>
      <c r="V31" s="28">
        <v>44.2</v>
      </c>
      <c r="W31" s="6" t="s">
        <v>152</v>
      </c>
      <c r="X31" s="23">
        <v>0</v>
      </c>
      <c r="Y31" s="28">
        <v>32.9</v>
      </c>
    </row>
    <row r="34" spans="2:13" x14ac:dyDescent="0.25">
      <c r="B34" s="31" t="s">
        <v>253</v>
      </c>
    </row>
    <row r="35" spans="2:13" x14ac:dyDescent="0.25">
      <c r="B35" s="22" t="s">
        <v>254</v>
      </c>
      <c r="C35" s="22" t="s">
        <v>255</v>
      </c>
      <c r="D35" s="22" t="s">
        <v>256</v>
      </c>
    </row>
    <row r="36" spans="2:13" x14ac:dyDescent="0.25">
      <c r="B36" s="6" t="s">
        <v>257</v>
      </c>
      <c r="C36" s="27">
        <v>0.25</v>
      </c>
      <c r="D36" s="6" t="s">
        <v>258</v>
      </c>
    </row>
    <row r="37" spans="2:13" x14ac:dyDescent="0.25">
      <c r="B37" s="29" t="s">
        <v>259</v>
      </c>
      <c r="C37" s="27">
        <v>0.15</v>
      </c>
      <c r="D37" s="29" t="s">
        <v>258</v>
      </c>
    </row>
    <row r="38" spans="2:13" x14ac:dyDescent="0.25">
      <c r="B38" s="6" t="s">
        <v>260</v>
      </c>
      <c r="C38" s="27">
        <v>0.15</v>
      </c>
      <c r="D38" s="6" t="s">
        <v>258</v>
      </c>
    </row>
    <row r="39" spans="2:13" x14ac:dyDescent="0.25">
      <c r="B39" s="29" t="s">
        <v>261</v>
      </c>
      <c r="C39" s="27">
        <v>0.15</v>
      </c>
      <c r="D39" s="29" t="s">
        <v>258</v>
      </c>
    </row>
    <row r="40" spans="2:13" x14ac:dyDescent="0.25">
      <c r="B40" s="6" t="s">
        <v>262</v>
      </c>
      <c r="C40" s="27">
        <v>0.1</v>
      </c>
      <c r="D40" s="6" t="s">
        <v>258</v>
      </c>
    </row>
    <row r="41" spans="2:13" x14ac:dyDescent="0.25">
      <c r="B41" s="29" t="s">
        <v>263</v>
      </c>
      <c r="C41" s="27">
        <v>0.1</v>
      </c>
      <c r="D41" s="29" t="s">
        <v>264</v>
      </c>
    </row>
    <row r="42" spans="2:13" x14ac:dyDescent="0.25">
      <c r="B42" s="6" t="s">
        <v>265</v>
      </c>
      <c r="C42" s="27">
        <v>0.05</v>
      </c>
      <c r="D42" s="6" t="s">
        <v>264</v>
      </c>
    </row>
    <row r="43" spans="2:13" x14ac:dyDescent="0.25">
      <c r="B43" s="29" t="s">
        <v>266</v>
      </c>
      <c r="C43" s="27">
        <v>0.05</v>
      </c>
      <c r="D43" s="29" t="s">
        <v>264</v>
      </c>
    </row>
    <row r="45" spans="2:13" x14ac:dyDescent="0.25">
      <c r="B45" s="7" t="s">
        <v>268</v>
      </c>
      <c r="C45" s="7"/>
      <c r="D45" s="7"/>
      <c r="E45" s="7"/>
      <c r="F45" s="7"/>
      <c r="G45" s="7"/>
      <c r="H45" s="7"/>
      <c r="I45" s="7"/>
      <c r="J45" s="7"/>
      <c r="K45" s="7"/>
      <c r="L45" s="7"/>
      <c r="M45" s="7"/>
    </row>
    <row r="46" spans="2:13" x14ac:dyDescent="0.25">
      <c r="B46" s="7"/>
      <c r="C46" s="7"/>
      <c r="D46" s="7"/>
      <c r="E46" s="7"/>
      <c r="F46" s="7"/>
      <c r="G46" s="7"/>
      <c r="H46" s="7"/>
      <c r="I46" s="7"/>
      <c r="J46" s="7"/>
      <c r="K46" s="7"/>
      <c r="L46" s="7"/>
      <c r="M46" s="7"/>
    </row>
    <row r="47" spans="2:13" x14ac:dyDescent="0.25">
      <c r="B47" s="7"/>
      <c r="C47" s="7"/>
      <c r="D47" s="7"/>
      <c r="E47" s="7"/>
      <c r="F47" s="7"/>
      <c r="G47" s="7"/>
      <c r="H47" s="7"/>
      <c r="I47" s="7"/>
      <c r="J47" s="7"/>
      <c r="K47" s="7"/>
      <c r="L47" s="7"/>
      <c r="M47" s="7"/>
    </row>
  </sheetData>
  <autoFilter ref="B6:Y31"/>
  <mergeCells count="1">
    <mergeCell ref="B45:M47"/>
  </mergeCells>
  <conditionalFormatting sqref="G7:G31">
    <cfRule type="dataBar" priority="5">
      <dataBar>
        <cfvo type="min"/>
        <cfvo type="max"/>
        <color rgb="FF0E8B8B"/>
      </dataBar>
      <extLst>
        <ext xmlns:x14="http://schemas.microsoft.com/office/spreadsheetml/2009/9/main" uri="{B025F937-C7B1-47D3-B67F-A62EFF666E3E}">
          <x14:id>{DA7ABA51-AAAA-BBBB-0003-000000000001}</x14:id>
        </ext>
      </extLst>
    </cfRule>
  </conditionalFormatting>
  <conditionalFormatting sqref="N7:N31">
    <cfRule type="cellIs" dxfId="0" priority="2" operator="lessThan">
      <formula>-0.05</formula>
    </cfRule>
  </conditionalFormatting>
  <conditionalFormatting sqref="T7:T31">
    <cfRule type="cellIs" dxfId="1" priority="3" operator="greaterThanOrEqual">
      <formula>1.5</formula>
    </cfRule>
  </conditionalFormatting>
  <conditionalFormatting sqref="V7:V31">
    <cfRule type="colorScale" priority="1">
      <colorScale>
        <cfvo type="min" val="0"/>
        <cfvo type="percentile" val="50"/>
        <cfvo type="max" val="0"/>
        <color rgb="FFF5B7B1"/>
        <color rgb="FFFCF3CF"/>
        <color rgb="FFABEBC6"/>
      </colorScale>
    </cfRule>
  </conditionalFormatting>
  <conditionalFormatting sqref="X7:X31">
    <cfRule type="dataBar" priority="4">
      <dataBar>
        <cfvo type="min"/>
        <cfvo type="max"/>
        <color rgb="FFE8A317"/>
      </dataBar>
      <extLst>
        <ext xmlns:x14="http://schemas.microsoft.com/office/spreadsheetml/2009/9/main" uri="{B025F937-C7B1-47D3-B67F-A62EFF666E3E}">
          <x14:id>{DA7ABA51-AAAA-BBBB-0003-000000000002}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FF0E8B8B"/>
              <x14:negativeFillColor rgb="FFFF0000"/>
              <x14:negativeBorderColor rgb="FFFF0000"/>
              <x14:axisColor rgb="FF000000"/>
            </x14:dataBar>
          </x14:cfRule>
          <xm:sqref>G7:G31</xm:sqref>
        </x14:conditionalFormatting>
        <x14:conditionalFormatting xmlns:xm="http://schemas.microsoft.com/office/excel/2006/main">
          <x14:cfRule type="dataBar" id="{DA7ABA51-AAAA-BBBB-0003-000000000002}">
            <x14:dataBar minLength="0" maxLength="100" border="1" gradient="0" negativeBarBorderColorSameAsPositive="0">
              <x14:cfvo type="autoMin"/>
              <x14:cfvo type="autoMax"/>
              <x14:borderColor rgb="FFE8A317"/>
              <x14:negativeFillColor rgb="FFFF0000"/>
              <x14:negativeBorderColor rgb="FFFF0000"/>
              <x14:axisColor rgb="FF000000"/>
            </x14:dataBar>
          </x14:cfRule>
          <xm:sqref>X7:X31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1"/>
  <sheetViews>
    <sheetView showGridLines="0" workbookViewId="0"/>
  </sheetViews>
  <sheetFormatPr defaultRowHeight="15" x14ac:dyDescent="0.25"/>
  <cols>
    <col min="1" max="1" width="2.7109375" customWidth="1"/>
    <col min="2" max="2" width="16.7109375" customWidth="1"/>
    <col min="3" max="3" width="15.7109375" customWidth="1"/>
    <col min="4" max="8" width="13.7109375" customWidth="1"/>
    <col min="9" max="9" width="22.7109375" customWidth="1"/>
    <col min="10" max="14" width="13.7109375" customWidth="1"/>
  </cols>
  <sheetData>
    <row r="2" spans="1:14" x14ac:dyDescent="0.25">
      <c r="B2" s="1" t="s">
        <v>269</v>
      </c>
    </row>
    <row r="3" spans="1:14" x14ac:dyDescent="0.25">
      <c r="B3" s="2" t="s">
        <v>270</v>
      </c>
    </row>
    <row r="6" spans="1:14" ht="24" customHeight="1" x14ac:dyDescent="0.25">
      <c r="A6" s="3" t="s">
        <v>271</v>
      </c>
      <c r="B6" s="3"/>
      <c r="C6" s="3"/>
      <c r="D6" s="3"/>
      <c r="E6" s="3"/>
      <c r="F6" s="3"/>
      <c r="G6" s="3"/>
      <c r="H6" s="3"/>
      <c r="I6" s="3"/>
      <c r="J6" s="3"/>
      <c r="K6" s="3"/>
      <c r="L6" s="3"/>
      <c r="M6" s="3"/>
      <c r="N6" s="3"/>
    </row>
    <row r="8" spans="1:14" x14ac:dyDescent="0.25">
      <c r="B8" s="22" t="s">
        <v>111</v>
      </c>
      <c r="C8" s="22" t="s">
        <v>112</v>
      </c>
      <c r="D8" s="22" t="s">
        <v>70</v>
      </c>
      <c r="E8" s="22" t="s">
        <v>113</v>
      </c>
      <c r="F8" s="22" t="s">
        <v>71</v>
      </c>
      <c r="G8" s="22" t="s">
        <v>114</v>
      </c>
      <c r="H8" s="22" t="s">
        <v>66</v>
      </c>
      <c r="I8" s="22" t="s">
        <v>115</v>
      </c>
      <c r="J8" s="22" t="s">
        <v>116</v>
      </c>
    </row>
    <row r="9" spans="1:14" x14ac:dyDescent="0.25">
      <c r="B9" s="6" t="s">
        <v>117</v>
      </c>
      <c r="C9" s="24" t="s">
        <v>118</v>
      </c>
      <c r="D9" s="30">
        <v>0.9282748638250866</v>
      </c>
      <c r="E9" s="30">
        <v>0.9283167980542288</v>
      </c>
      <c r="F9" s="28">
        <v>3.54710709889208</v>
      </c>
      <c r="G9" s="27">
        <v>0.13483791546984</v>
      </c>
      <c r="H9" s="23">
        <v>14355277.16000005</v>
      </c>
      <c r="I9" s="27">
        <v>0.2190932938428674</v>
      </c>
      <c r="J9" s="23">
        <v>340978.8300000002</v>
      </c>
    </row>
    <row r="10" spans="1:14" x14ac:dyDescent="0.25">
      <c r="B10" s="29" t="s">
        <v>119</v>
      </c>
      <c r="C10" s="24" t="s">
        <v>120</v>
      </c>
      <c r="D10" s="30">
        <v>0.877931230002835</v>
      </c>
      <c r="E10" s="30">
        <v>0.8756881016969075</v>
      </c>
      <c r="F10" s="28">
        <v>3.555980993679937</v>
      </c>
      <c r="G10" s="27">
        <v>0.136827051713798</v>
      </c>
      <c r="H10" s="23">
        <v>17787701.56999998</v>
      </c>
      <c r="I10" s="27">
        <v>0.2714796853748259</v>
      </c>
      <c r="J10" s="23">
        <v>557878.9799999994</v>
      </c>
    </row>
    <row r="11" spans="1:14" x14ac:dyDescent="0.25">
      <c r="B11" s="6" t="s">
        <v>121</v>
      </c>
      <c r="C11" s="24" t="s">
        <v>122</v>
      </c>
      <c r="D11" s="30">
        <v>0.8267219182491149</v>
      </c>
      <c r="E11" s="30">
        <v>0.8262469196833659</v>
      </c>
      <c r="F11" s="28">
        <v>3.566742907197431</v>
      </c>
      <c r="G11" s="27">
        <v>0.138206238746411</v>
      </c>
      <c r="H11" s="23">
        <v>11425970.20999999</v>
      </c>
      <c r="I11" s="27">
        <v>0.1743855880146147</v>
      </c>
      <c r="J11" s="23">
        <v>784888.3399999988</v>
      </c>
    </row>
    <row r="12" spans="1:14" x14ac:dyDescent="0.25">
      <c r="B12" s="29" t="s">
        <v>123</v>
      </c>
      <c r="C12" s="24" t="s">
        <v>124</v>
      </c>
      <c r="D12" s="30">
        <v>0.8013695584507982</v>
      </c>
      <c r="E12" s="30">
        <v>0.7987933455836244</v>
      </c>
      <c r="F12" s="28">
        <v>3.699478415270225</v>
      </c>
      <c r="G12" s="27">
        <v>0.1462656752857618</v>
      </c>
      <c r="H12" s="23">
        <v>13013794.08</v>
      </c>
      <c r="I12" s="27">
        <v>0.1986192936995163</v>
      </c>
      <c r="J12" s="23">
        <v>824709.6499999994</v>
      </c>
    </row>
    <row r="13" spans="1:14" x14ac:dyDescent="0.25">
      <c r="B13" s="6" t="s">
        <v>125</v>
      </c>
      <c r="C13" s="24" t="s">
        <v>126</v>
      </c>
      <c r="D13" s="30">
        <v>0.7594797178130511</v>
      </c>
      <c r="E13" s="30">
        <v>0.7516144084150866</v>
      </c>
      <c r="F13" s="28">
        <v>3.56133526850508</v>
      </c>
      <c r="G13" s="27">
        <v>0.1391582002902758</v>
      </c>
      <c r="H13" s="23">
        <v>8938555.729999993</v>
      </c>
      <c r="I13" s="27">
        <v>0.1364221390681758</v>
      </c>
      <c r="J13" s="23">
        <v>1033107.279999998</v>
      </c>
    </row>
    <row r="16" spans="1:14" ht="24" customHeight="1" x14ac:dyDescent="0.25">
      <c r="A16" s="3" t="s">
        <v>272</v>
      </c>
      <c r="B16" s="3"/>
      <c r="C16" s="3"/>
      <c r="D16" s="3"/>
      <c r="E16" s="3"/>
      <c r="F16" s="3"/>
      <c r="G16" s="3"/>
      <c r="H16" s="3"/>
      <c r="I16" s="3"/>
      <c r="J16" s="3"/>
      <c r="K16" s="3"/>
      <c r="L16" s="3"/>
      <c r="M16" s="3"/>
      <c r="N16" s="3"/>
    </row>
    <row r="18" spans="2:9" x14ac:dyDescent="0.25">
      <c r="B18" s="22" t="s">
        <v>273</v>
      </c>
      <c r="C18" s="22" t="s">
        <v>75</v>
      </c>
      <c r="D18" s="22" t="s">
        <v>77</v>
      </c>
      <c r="E18" s="22" t="s">
        <v>79</v>
      </c>
      <c r="F18" s="22" t="s">
        <v>81</v>
      </c>
      <c r="G18" s="22" t="s">
        <v>83</v>
      </c>
      <c r="H18" s="22" t="s">
        <v>85</v>
      </c>
      <c r="I18" s="22" t="s">
        <v>87</v>
      </c>
    </row>
    <row r="19" spans="2:9" x14ac:dyDescent="0.25">
      <c r="B19" s="6" t="s">
        <v>117</v>
      </c>
      <c r="C19" s="27">
        <v>0.9297132707434661</v>
      </c>
      <c r="D19" s="27">
        <v>0.9315913094539049</v>
      </c>
      <c r="E19" s="27">
        <v>0.9264248704663213</v>
      </c>
      <c r="F19" s="27">
        <v>0.9217414529914529</v>
      </c>
      <c r="G19" s="27">
        <v>0.9349096705632306</v>
      </c>
      <c r="H19" s="27">
        <v>0.9244013989776702</v>
      </c>
      <c r="I19" s="27">
        <v>0.9293378696676263</v>
      </c>
    </row>
    <row r="20" spans="2:9" x14ac:dyDescent="0.25">
      <c r="B20" s="29" t="s">
        <v>123</v>
      </c>
      <c r="C20" s="27">
        <v>0.7991183879093199</v>
      </c>
      <c r="D20" s="27">
        <v>0.8084096303831807</v>
      </c>
      <c r="E20" s="27">
        <v>0.7950693374422187</v>
      </c>
      <c r="F20" s="27">
        <v>0.7906182044113078</v>
      </c>
      <c r="G20" s="27">
        <v>0.8037070799149195</v>
      </c>
      <c r="H20" s="27">
        <v>0.8022079116835327</v>
      </c>
      <c r="I20" s="27">
        <v>0.8106332138590203</v>
      </c>
    </row>
    <row r="21" spans="2:9" x14ac:dyDescent="0.25">
      <c r="B21" s="6" t="s">
        <v>119</v>
      </c>
      <c r="C21" s="27">
        <v>0.8825406032482599</v>
      </c>
      <c r="D21" s="27">
        <v>0.87900466562986</v>
      </c>
      <c r="E21" s="27">
        <v>0.8791574279379157</v>
      </c>
      <c r="F21" s="27">
        <v>0.8765432098765432</v>
      </c>
      <c r="G21" s="27">
        <v>0.8771978021978022</v>
      </c>
      <c r="H21" s="27">
        <v>0.8723233404710921</v>
      </c>
      <c r="I21" s="27">
        <v>0.8792474024150519</v>
      </c>
    </row>
    <row r="22" spans="2:9" x14ac:dyDescent="0.25">
      <c r="B22" s="29" t="s">
        <v>125</v>
      </c>
      <c r="C22" s="27">
        <v>0.7642028100183262</v>
      </c>
      <c r="D22" s="27">
        <v>0.7520604395604396</v>
      </c>
      <c r="E22" s="27">
        <v>0.7584670231729055</v>
      </c>
      <c r="F22" s="27">
        <v>0.7769516728624535</v>
      </c>
      <c r="G22" s="27">
        <v>0.7405882352941177</v>
      </c>
      <c r="H22" s="27">
        <v>0.7581148564294632</v>
      </c>
      <c r="I22" s="27">
        <v>0.7660800970873787</v>
      </c>
    </row>
    <row r="23" spans="2:9" x14ac:dyDescent="0.25">
      <c r="B23" s="6" t="s">
        <v>121</v>
      </c>
      <c r="C23" s="27">
        <v>0.8155930329001936</v>
      </c>
      <c r="D23" s="27">
        <v>0.8386405388854868</v>
      </c>
      <c r="E23" s="27">
        <v>0.8200486355039178</v>
      </c>
      <c r="F23" s="27">
        <v>0.8280034572169404</v>
      </c>
      <c r="G23" s="27">
        <v>0.8314238952536824</v>
      </c>
      <c r="H23" s="27">
        <v>0.8334272829763247</v>
      </c>
      <c r="I23" s="27">
        <v>0.8212991357680512</v>
      </c>
    </row>
    <row r="43" spans="1:14" ht="24" customHeight="1" x14ac:dyDescent="0.25">
      <c r="A43" s="3" t="s">
        <v>274</v>
      </c>
      <c r="B43" s="3"/>
      <c r="C43" s="3"/>
      <c r="D43" s="3"/>
      <c r="E43" s="3"/>
      <c r="F43" s="3"/>
      <c r="G43" s="3"/>
      <c r="H43" s="3"/>
      <c r="I43" s="3"/>
      <c r="J43" s="3"/>
      <c r="K43" s="3"/>
      <c r="L43" s="3"/>
      <c r="M43" s="3"/>
      <c r="N43" s="3"/>
    </row>
    <row r="45" spans="1:14" x14ac:dyDescent="0.25">
      <c r="B45" s="22" t="s">
        <v>90</v>
      </c>
      <c r="C45" s="22" t="s">
        <v>111</v>
      </c>
      <c r="D45" s="22" t="s">
        <v>65</v>
      </c>
      <c r="E45" s="22" t="s">
        <v>112</v>
      </c>
      <c r="F45" s="22" t="s">
        <v>70</v>
      </c>
      <c r="G45" s="22" t="s">
        <v>71</v>
      </c>
      <c r="H45" s="22" t="s">
        <v>114</v>
      </c>
      <c r="I45" s="22" t="s">
        <v>275</v>
      </c>
    </row>
    <row r="46" spans="1:14" x14ac:dyDescent="0.25">
      <c r="B46" s="6" t="s">
        <v>102</v>
      </c>
      <c r="C46" s="6" t="s">
        <v>123</v>
      </c>
      <c r="D46" s="6" t="s">
        <v>81</v>
      </c>
      <c r="E46" s="24" t="s">
        <v>276</v>
      </c>
      <c r="F46" s="27">
        <v>0.6787072243346007</v>
      </c>
      <c r="G46" s="28">
        <v>15.69467787114846</v>
      </c>
      <c r="H46" s="27">
        <v>0.9607843137254902</v>
      </c>
      <c r="I46" s="28">
        <v>10.35719126686291</v>
      </c>
    </row>
    <row r="47" spans="1:14" x14ac:dyDescent="0.25">
      <c r="B47" s="29" t="s">
        <v>100</v>
      </c>
      <c r="C47" s="29" t="s">
        <v>119</v>
      </c>
      <c r="D47" s="29" t="s">
        <v>79</v>
      </c>
      <c r="E47" s="24" t="s">
        <v>277</v>
      </c>
      <c r="F47" s="27">
        <v>0.8759571209800919</v>
      </c>
      <c r="G47" s="28">
        <v>4.020979020979021</v>
      </c>
      <c r="H47" s="27">
        <v>0.1748251748251748</v>
      </c>
      <c r="I47" s="28">
        <v>0.4158618535057403</v>
      </c>
    </row>
    <row r="48" spans="1:14" x14ac:dyDescent="0.25">
      <c r="B48" s="6" t="s">
        <v>102</v>
      </c>
      <c r="C48" s="6" t="s">
        <v>121</v>
      </c>
      <c r="D48" s="6" t="s">
        <v>87</v>
      </c>
      <c r="E48" s="24" t="s">
        <v>278</v>
      </c>
      <c r="F48" s="27">
        <v>0.8225039619651348</v>
      </c>
      <c r="G48" s="28">
        <v>3.967244701348748</v>
      </c>
      <c r="H48" s="27">
        <v>0.1695568400770713</v>
      </c>
      <c r="I48" s="28">
        <v>0.4070540149851496</v>
      </c>
    </row>
    <row r="49" spans="2:10" x14ac:dyDescent="0.25">
      <c r="B49" s="29" t="s">
        <v>104</v>
      </c>
      <c r="C49" s="29" t="s">
        <v>123</v>
      </c>
      <c r="D49" s="29" t="s">
        <v>81</v>
      </c>
      <c r="E49" s="24" t="s">
        <v>279</v>
      </c>
      <c r="F49" s="27">
        <v>0.8345864661654135</v>
      </c>
      <c r="G49" s="28">
        <v>3.780780780780781</v>
      </c>
      <c r="H49" s="27">
        <v>0.1741741741741742</v>
      </c>
      <c r="I49" s="28">
        <v>0.3549786017269341</v>
      </c>
    </row>
    <row r="50" spans="2:10" x14ac:dyDescent="0.25">
      <c r="B50" s="6" t="s">
        <v>98</v>
      </c>
      <c r="C50" s="6" t="s">
        <v>125</v>
      </c>
      <c r="D50" s="6" t="s">
        <v>85</v>
      </c>
      <c r="E50" s="24" t="s">
        <v>280</v>
      </c>
      <c r="F50" s="27">
        <v>0.7418803418803419</v>
      </c>
      <c r="G50" s="28">
        <v>3.899769585253456</v>
      </c>
      <c r="H50" s="27">
        <v>0.1658986175115207</v>
      </c>
      <c r="I50" s="28">
        <v>0.3500945825041417</v>
      </c>
    </row>
    <row r="51" spans="2:10" x14ac:dyDescent="0.25">
      <c r="B51" s="29" t="s">
        <v>100</v>
      </c>
      <c r="C51" s="29" t="s">
        <v>117</v>
      </c>
      <c r="D51" s="29" t="s">
        <v>77</v>
      </c>
      <c r="E51" s="24" t="s">
        <v>281</v>
      </c>
      <c r="F51" s="27">
        <v>0.9477611940298507</v>
      </c>
      <c r="G51" s="28">
        <v>3.836614173228346</v>
      </c>
      <c r="H51" s="27">
        <v>0.1515748031496063</v>
      </c>
      <c r="I51" s="28">
        <v>0.343482567710899</v>
      </c>
    </row>
    <row r="52" spans="2:10" x14ac:dyDescent="0.25">
      <c r="B52" s="6" t="s">
        <v>100</v>
      </c>
      <c r="C52" s="6" t="s">
        <v>121</v>
      </c>
      <c r="D52" s="6" t="s">
        <v>79</v>
      </c>
      <c r="E52" s="24" t="s">
        <v>282</v>
      </c>
      <c r="F52" s="27">
        <v>0.8237232289950577</v>
      </c>
      <c r="G52" s="28">
        <v>3.908</v>
      </c>
      <c r="H52" s="27">
        <v>0.158</v>
      </c>
      <c r="I52" s="28">
        <v>0.3381551598664436</v>
      </c>
    </row>
    <row r="53" spans="2:10" x14ac:dyDescent="0.25">
      <c r="B53" s="29" t="s">
        <v>106</v>
      </c>
      <c r="C53" s="29" t="s">
        <v>125</v>
      </c>
      <c r="D53" s="29" t="s">
        <v>85</v>
      </c>
      <c r="E53" s="24" t="s">
        <v>283</v>
      </c>
      <c r="F53" s="27">
        <v>0.7718940936863544</v>
      </c>
      <c r="G53" s="28">
        <v>3.83377308707124</v>
      </c>
      <c r="H53" s="27">
        <v>0.1451187335092348</v>
      </c>
      <c r="I53" s="28">
        <v>0.3318341816398966</v>
      </c>
    </row>
    <row r="54" spans="2:10" x14ac:dyDescent="0.25">
      <c r="B54" s="6" t="s">
        <v>100</v>
      </c>
      <c r="C54" s="6" t="s">
        <v>117</v>
      </c>
      <c r="D54" s="6" t="s">
        <v>81</v>
      </c>
      <c r="E54" s="24" t="s">
        <v>284</v>
      </c>
      <c r="F54" s="27">
        <v>0.9303482587064676</v>
      </c>
      <c r="G54" s="28">
        <v>3.818181818181818</v>
      </c>
      <c r="H54" s="27">
        <v>0.142602495543672</v>
      </c>
      <c r="I54" s="28">
        <v>0.3250502126643711</v>
      </c>
    </row>
    <row r="55" spans="2:10" x14ac:dyDescent="0.25">
      <c r="B55" s="29" t="s">
        <v>106</v>
      </c>
      <c r="C55" s="29" t="s">
        <v>121</v>
      </c>
      <c r="D55" s="29" t="s">
        <v>85</v>
      </c>
      <c r="E55" s="24" t="s">
        <v>285</v>
      </c>
      <c r="F55" s="27">
        <v>0.8543689320388349</v>
      </c>
      <c r="G55" s="28">
        <v>3.745454545454546</v>
      </c>
      <c r="H55" s="27">
        <v>0.1545454545454545</v>
      </c>
      <c r="I55" s="28">
        <v>0.3180739342382712</v>
      </c>
    </row>
    <row r="56" spans="2:10" x14ac:dyDescent="0.25">
      <c r="B56" s="6" t="s">
        <v>106</v>
      </c>
      <c r="C56" s="6" t="s">
        <v>117</v>
      </c>
      <c r="D56" s="6" t="s">
        <v>85</v>
      </c>
      <c r="E56" s="24" t="s">
        <v>286</v>
      </c>
      <c r="F56" s="27">
        <v>0.9283439490445859</v>
      </c>
      <c r="G56" s="28">
        <v>3.869639794168096</v>
      </c>
      <c r="H56" s="27">
        <v>0.1440823327615781</v>
      </c>
      <c r="I56" s="28">
        <v>0.3176545048916291</v>
      </c>
    </row>
    <row r="57" spans="2:10" x14ac:dyDescent="0.25">
      <c r="B57" s="29" t="s">
        <v>104</v>
      </c>
      <c r="C57" s="29" t="s">
        <v>121</v>
      </c>
      <c r="D57" s="29" t="s">
        <v>79</v>
      </c>
      <c r="E57" s="24" t="s">
        <v>287</v>
      </c>
      <c r="F57" s="27">
        <v>0.8161157024793388</v>
      </c>
      <c r="G57" s="28">
        <v>3.89873417721519</v>
      </c>
      <c r="H57" s="27">
        <v>0.1443037974683544</v>
      </c>
      <c r="I57" s="28">
        <v>0.2900944408122932</v>
      </c>
    </row>
    <row r="59" spans="2:10" x14ac:dyDescent="0.25">
      <c r="B59" s="7" t="s">
        <v>289</v>
      </c>
      <c r="C59" s="7"/>
      <c r="D59" s="7"/>
      <c r="E59" s="7"/>
      <c r="F59" s="7"/>
      <c r="G59" s="7"/>
      <c r="H59" s="7"/>
      <c r="I59" s="7"/>
      <c r="J59" s="7"/>
    </row>
    <row r="60" spans="2:10" x14ac:dyDescent="0.25">
      <c r="B60" s="7"/>
      <c r="C60" s="7"/>
      <c r="D60" s="7"/>
      <c r="E60" s="7"/>
      <c r="F60" s="7"/>
      <c r="G60" s="7"/>
      <c r="H60" s="7"/>
      <c r="I60" s="7"/>
      <c r="J60" s="7"/>
    </row>
    <row r="61" spans="2:10" x14ac:dyDescent="0.25">
      <c r="B61" s="7"/>
      <c r="C61" s="7"/>
      <c r="D61" s="7"/>
      <c r="E61" s="7"/>
      <c r="F61" s="7"/>
      <c r="G61" s="7"/>
      <c r="H61" s="7"/>
      <c r="I61" s="7"/>
      <c r="J61" s="7"/>
    </row>
  </sheetData>
  <mergeCells count="4">
    <mergeCell ref="A6:N6"/>
    <mergeCell ref="A16:N16"/>
    <mergeCell ref="A43:N43"/>
    <mergeCell ref="B59:J61"/>
  </mergeCells>
  <conditionalFormatting sqref="I46:I57">
    <cfRule type="dataBar" priority="1">
      <dataBar>
        <cfvo type="min"/>
        <cfvo type="max"/>
        <color rgb="FFC0392B"/>
      </dataBar>
      <extLst>
        <ext xmlns:x14="http://schemas.microsoft.com/office/spreadsheetml/2009/9/main" uri="{B025F937-C7B1-47D3-B67F-A62EFF666E3E}">
          <x14:id>{DA7ABA51-AAAA-BBBB-0004-000000000001}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FFC0392B"/>
              <x14:negativeFillColor rgb="FFFF0000"/>
              <x14:negativeBorderColor rgb="FFFF0000"/>
              <x14:axisColor rgb="FF000000"/>
            </x14:dataBar>
          </x14:cfRule>
          <xm:sqref>I46:I57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90"/>
  <sheetViews>
    <sheetView showGridLines="0" workbookViewId="0"/>
  </sheetViews>
  <sheetFormatPr defaultRowHeight="15" x14ac:dyDescent="0.25"/>
  <cols>
    <col min="1" max="1" width="2.7109375" customWidth="1"/>
    <col min="2" max="2" width="24.7109375" customWidth="1"/>
    <col min="3" max="3" width="15.7109375" customWidth="1"/>
    <col min="4" max="4" width="18.7109375" customWidth="1"/>
    <col min="5" max="5" width="13.7109375" customWidth="1"/>
    <col min="6" max="6" width="15.7109375" customWidth="1"/>
    <col min="7" max="8" width="13.7109375" customWidth="1"/>
    <col min="9" max="9" width="16.7109375" customWidth="1"/>
    <col min="10" max="10" width="13.7109375" customWidth="1"/>
    <col min="11" max="11" width="17.7109375" customWidth="1"/>
    <col min="12" max="12" width="16.7109375" customWidth="1"/>
    <col min="13" max="14" width="13.7109375" customWidth="1"/>
  </cols>
  <sheetData>
    <row r="2" spans="1:16" x14ac:dyDescent="0.25">
      <c r="B2" s="1" t="s">
        <v>290</v>
      </c>
    </row>
    <row r="3" spans="1:16" x14ac:dyDescent="0.25">
      <c r="B3" s="2" t="s">
        <v>291</v>
      </c>
    </row>
    <row r="6" spans="1:16" ht="16" customHeight="1" x14ac:dyDescent="0.25">
      <c r="B6" s="8" t="s">
        <v>292</v>
      </c>
      <c r="C6" s="8"/>
      <c r="D6" s="8"/>
      <c r="E6" s="9" t="s">
        <v>50</v>
      </c>
      <c r="F6" s="9"/>
      <c r="G6" s="9"/>
      <c r="H6" s="10" t="s">
        <v>52</v>
      </c>
      <c r="I6" s="10"/>
      <c r="J6" s="10"/>
      <c r="K6" s="10" t="s">
        <v>295</v>
      </c>
      <c r="L6" s="10"/>
      <c r="M6" s="10"/>
      <c r="N6" s="9" t="s">
        <v>297</v>
      </c>
      <c r="O6" s="9"/>
      <c r="P6" s="9"/>
    </row>
    <row r="7" spans="1:16" ht="30" customHeight="1" x14ac:dyDescent="0.25">
      <c r="B7" s="12">
        <v>1363</v>
      </c>
      <c r="C7" s="12"/>
      <c r="D7" s="12"/>
      <c r="E7" s="14">
        <v>23.72964049889951</v>
      </c>
      <c r="F7" s="14"/>
      <c r="G7" s="14"/>
      <c r="H7" s="15">
        <v>0.2626559060895085</v>
      </c>
      <c r="I7" s="15"/>
      <c r="J7" s="15"/>
      <c r="K7" s="20">
        <v>239</v>
      </c>
      <c r="L7" s="20"/>
      <c r="M7" s="20"/>
      <c r="N7" s="19">
        <v>2.671883668184589</v>
      </c>
      <c r="O7" s="19"/>
      <c r="P7" s="19"/>
    </row>
    <row r="8" spans="1:16" ht="14" customHeight="1" x14ac:dyDescent="0.25">
      <c r="B8" s="16" t="s">
        <v>293</v>
      </c>
      <c r="C8" s="16"/>
      <c r="D8" s="16"/>
      <c r="E8" s="17" t="s">
        <v>294</v>
      </c>
      <c r="F8" s="17"/>
      <c r="G8" s="17"/>
      <c r="H8" s="18" t="s">
        <v>53</v>
      </c>
      <c r="I8" s="18"/>
      <c r="J8" s="18"/>
      <c r="K8" s="18" t="s">
        <v>296</v>
      </c>
      <c r="L8" s="18"/>
      <c r="M8" s="18"/>
      <c r="N8" s="17" t="s">
        <v>298</v>
      </c>
      <c r="O8" s="17"/>
      <c r="P8" s="17"/>
    </row>
    <row r="11" spans="1:16" ht="24" customHeight="1" x14ac:dyDescent="0.25">
      <c r="A11" s="3" t="s">
        <v>299</v>
      </c>
      <c r="B11" s="3"/>
      <c r="C11" s="3"/>
      <c r="D11" s="3"/>
      <c r="E11" s="3"/>
      <c r="F11" s="3"/>
      <c r="G11" s="3"/>
      <c r="H11" s="3"/>
      <c r="I11" s="3"/>
      <c r="J11" s="3"/>
      <c r="K11" s="3"/>
      <c r="L11" s="3"/>
      <c r="M11" s="3"/>
      <c r="N11" s="3"/>
    </row>
    <row r="13" spans="1:16" x14ac:dyDescent="0.25">
      <c r="B13" s="22" t="s">
        <v>300</v>
      </c>
      <c r="C13" s="22" t="s">
        <v>301</v>
      </c>
      <c r="D13" s="22" t="s">
        <v>72</v>
      </c>
      <c r="E13" s="22" t="s">
        <v>73</v>
      </c>
      <c r="F13" s="22" t="s">
        <v>302</v>
      </c>
      <c r="G13" s="22" t="s">
        <v>303</v>
      </c>
      <c r="H13" s="22" t="s">
        <v>304</v>
      </c>
      <c r="I13" s="22" t="s">
        <v>305</v>
      </c>
      <c r="J13" s="22" t="s">
        <v>306</v>
      </c>
      <c r="K13" s="22" t="s">
        <v>307</v>
      </c>
    </row>
    <row r="14" spans="1:16" x14ac:dyDescent="0.25">
      <c r="B14" s="6" t="s">
        <v>180</v>
      </c>
      <c r="C14" s="24" t="s">
        <v>202</v>
      </c>
      <c r="D14" s="24" t="s">
        <v>308</v>
      </c>
      <c r="E14" s="28">
        <v>52.69915966386552</v>
      </c>
      <c r="F14" s="28">
        <v>52.7</v>
      </c>
      <c r="G14" s="24">
        <v>117</v>
      </c>
      <c r="H14" s="27">
        <v>0.9831932773109243</v>
      </c>
      <c r="I14" s="28">
        <v>40.83193277310924</v>
      </c>
      <c r="J14" s="24">
        <v>24</v>
      </c>
      <c r="K14" s="27">
        <v>0.3268156424581006</v>
      </c>
    </row>
    <row r="15" spans="1:16" x14ac:dyDescent="0.25">
      <c r="B15" s="29" t="s">
        <v>309</v>
      </c>
      <c r="C15" s="24" t="s">
        <v>247</v>
      </c>
      <c r="D15" s="24" t="s">
        <v>310</v>
      </c>
      <c r="E15" s="28">
        <v>41.56185185185184</v>
      </c>
      <c r="F15" s="28">
        <v>36.2</v>
      </c>
      <c r="G15" s="24">
        <v>222</v>
      </c>
      <c r="H15" s="27">
        <v>0.8222222222222222</v>
      </c>
      <c r="I15" s="28">
        <v>18.58037037037038</v>
      </c>
      <c r="J15" s="24">
        <v>38</v>
      </c>
      <c r="K15" s="27">
        <v>0.6201117318435754</v>
      </c>
    </row>
    <row r="16" spans="1:16" x14ac:dyDescent="0.25">
      <c r="B16" s="6" t="s">
        <v>311</v>
      </c>
      <c r="C16" s="24" t="s">
        <v>312</v>
      </c>
      <c r="D16" s="24" t="s">
        <v>313</v>
      </c>
      <c r="E16" s="28">
        <v>19.7784140969163</v>
      </c>
      <c r="F16" s="28">
        <v>18.5</v>
      </c>
      <c r="G16" s="24">
        <v>18</v>
      </c>
      <c r="H16" s="27">
        <v>0.03964757709251102</v>
      </c>
      <c r="I16" s="28">
        <v>0.8618942731277532</v>
      </c>
      <c r="J16" s="24">
        <v>79</v>
      </c>
      <c r="K16" s="27">
        <v>0.05027932960893855</v>
      </c>
    </row>
    <row r="17" spans="1:14" x14ac:dyDescent="0.25">
      <c r="B17" s="29" t="s">
        <v>314</v>
      </c>
      <c r="C17" s="24" t="s">
        <v>188</v>
      </c>
      <c r="D17" s="24" t="s">
        <v>315</v>
      </c>
      <c r="E17" s="28">
        <v>11.29076923076923</v>
      </c>
      <c r="F17" s="28">
        <v>10.45</v>
      </c>
      <c r="G17" s="24">
        <v>1</v>
      </c>
      <c r="H17" s="27">
        <v>0.001923076923076923</v>
      </c>
      <c r="I17" s="28">
        <v>0.009807692307692311</v>
      </c>
      <c r="J17" s="24">
        <v>98</v>
      </c>
      <c r="K17" s="27">
        <v>0.002793296089385475</v>
      </c>
    </row>
    <row r="19" spans="1:14" x14ac:dyDescent="0.25">
      <c r="B19" s="7" t="s">
        <v>316</v>
      </c>
      <c r="C19" s="7"/>
      <c r="D19" s="7"/>
      <c r="E19" s="7"/>
      <c r="F19" s="7"/>
      <c r="G19" s="7"/>
      <c r="H19" s="7"/>
      <c r="I19" s="7"/>
      <c r="J19" s="7"/>
      <c r="K19" s="7"/>
    </row>
    <row r="20" spans="1:14" x14ac:dyDescent="0.25">
      <c r="B20" s="7"/>
      <c r="C20" s="7"/>
      <c r="D20" s="7"/>
      <c r="E20" s="7"/>
      <c r="F20" s="7"/>
      <c r="G20" s="7"/>
      <c r="H20" s="7"/>
      <c r="I20" s="7"/>
      <c r="J20" s="7"/>
      <c r="K20" s="7"/>
    </row>
    <row r="21" spans="1:14" x14ac:dyDescent="0.25">
      <c r="B21" s="7"/>
      <c r="C21" s="7"/>
      <c r="D21" s="7"/>
      <c r="E21" s="7"/>
      <c r="F21" s="7"/>
      <c r="G21" s="7"/>
      <c r="H21" s="7"/>
      <c r="I21" s="7"/>
      <c r="J21" s="7"/>
      <c r="K21" s="7"/>
    </row>
    <row r="22" spans="1:14" x14ac:dyDescent="0.25">
      <c r="B22" s="7"/>
      <c r="C22" s="7"/>
      <c r="D22" s="7"/>
      <c r="E22" s="7"/>
      <c r="F22" s="7"/>
      <c r="G22" s="7"/>
      <c r="H22" s="7"/>
      <c r="I22" s="7"/>
      <c r="J22" s="7"/>
      <c r="K22" s="7"/>
    </row>
    <row r="23" spans="1:14" x14ac:dyDescent="0.25">
      <c r="B23" s="7"/>
      <c r="C23" s="7"/>
      <c r="D23" s="7"/>
      <c r="E23" s="7"/>
      <c r="F23" s="7"/>
      <c r="G23" s="7"/>
      <c r="H23" s="7"/>
      <c r="I23" s="7"/>
      <c r="J23" s="7"/>
      <c r="K23" s="7"/>
    </row>
    <row r="25" spans="1:14" ht="24" customHeight="1" x14ac:dyDescent="0.25">
      <c r="A25" s="3" t="s">
        <v>317</v>
      </c>
      <c r="B25" s="3"/>
      <c r="C25" s="3"/>
      <c r="D25" s="3"/>
      <c r="E25" s="3"/>
      <c r="F25" s="3"/>
      <c r="G25" s="3"/>
      <c r="H25" s="3"/>
      <c r="I25" s="3"/>
      <c r="J25" s="3"/>
      <c r="K25" s="3"/>
      <c r="L25" s="3"/>
      <c r="M25" s="3"/>
      <c r="N25" s="3"/>
    </row>
    <row r="27" spans="1:14" x14ac:dyDescent="0.25">
      <c r="B27" s="22" t="s">
        <v>318</v>
      </c>
      <c r="C27" s="22" t="s">
        <v>319</v>
      </c>
      <c r="D27" s="22" t="s">
        <v>320</v>
      </c>
      <c r="E27" s="22" t="s">
        <v>72</v>
      </c>
      <c r="F27" s="22" t="s">
        <v>73</v>
      </c>
      <c r="G27" s="22" t="s">
        <v>321</v>
      </c>
      <c r="H27" s="22" t="s">
        <v>322</v>
      </c>
      <c r="I27" s="22" t="s">
        <v>304</v>
      </c>
      <c r="J27" s="22" t="s">
        <v>323</v>
      </c>
      <c r="K27" s="22" t="s">
        <v>306</v>
      </c>
      <c r="L27" s="22" t="s">
        <v>324</v>
      </c>
    </row>
    <row r="28" spans="1:14" x14ac:dyDescent="0.25">
      <c r="B28" s="6" t="s">
        <v>325</v>
      </c>
      <c r="C28" s="6" t="s">
        <v>326</v>
      </c>
      <c r="D28" s="6" t="s">
        <v>327</v>
      </c>
      <c r="E28" s="24" t="s">
        <v>328</v>
      </c>
      <c r="F28" s="28">
        <v>22.49328063241107</v>
      </c>
      <c r="G28" s="28">
        <v>16</v>
      </c>
      <c r="H28" s="28">
        <v>182.8</v>
      </c>
      <c r="I28" s="27">
        <v>0.2173913043478261</v>
      </c>
      <c r="J28" s="24">
        <v>66</v>
      </c>
      <c r="K28" s="24">
        <v>46</v>
      </c>
      <c r="L28" s="24">
        <v>1565.6</v>
      </c>
    </row>
    <row r="29" spans="1:14" x14ac:dyDescent="0.25">
      <c r="B29" s="29" t="s">
        <v>329</v>
      </c>
      <c r="C29" s="29" t="s">
        <v>330</v>
      </c>
      <c r="D29" s="29" t="s">
        <v>331</v>
      </c>
      <c r="E29" s="24" t="s">
        <v>332</v>
      </c>
      <c r="F29" s="28">
        <v>23.62186234817814</v>
      </c>
      <c r="G29" s="28">
        <v>16.8</v>
      </c>
      <c r="H29" s="28">
        <v>128</v>
      </c>
      <c r="I29" s="27">
        <v>0.2672064777327935</v>
      </c>
      <c r="J29" s="24">
        <v>70</v>
      </c>
      <c r="K29" s="24">
        <v>37</v>
      </c>
      <c r="L29" s="24">
        <v>1923.9</v>
      </c>
    </row>
    <row r="30" spans="1:14" x14ac:dyDescent="0.25">
      <c r="B30" s="6" t="s">
        <v>333</v>
      </c>
      <c r="C30" s="6" t="s">
        <v>330</v>
      </c>
      <c r="D30" s="6" t="s">
        <v>331</v>
      </c>
      <c r="E30" s="24" t="s">
        <v>334</v>
      </c>
      <c r="F30" s="28">
        <v>25.47136752136752</v>
      </c>
      <c r="G30" s="28">
        <v>16.95</v>
      </c>
      <c r="H30" s="28">
        <v>153</v>
      </c>
      <c r="I30" s="27">
        <v>0.3290598290598291</v>
      </c>
      <c r="J30" s="24">
        <v>78</v>
      </c>
      <c r="K30" s="24">
        <v>42</v>
      </c>
      <c r="L30" s="24">
        <v>2237.5</v>
      </c>
    </row>
    <row r="31" spans="1:14" x14ac:dyDescent="0.25">
      <c r="B31" s="29" t="s">
        <v>335</v>
      </c>
      <c r="C31" s="29" t="s">
        <v>336</v>
      </c>
      <c r="D31" s="29" t="s">
        <v>327</v>
      </c>
      <c r="E31" s="24" t="s">
        <v>86</v>
      </c>
      <c r="F31" s="28">
        <v>24.09255813953488</v>
      </c>
      <c r="G31" s="28">
        <v>17.8</v>
      </c>
      <c r="H31" s="28">
        <v>155.2</v>
      </c>
      <c r="I31" s="27">
        <v>0.2976744186046512</v>
      </c>
      <c r="J31" s="24">
        <v>67</v>
      </c>
      <c r="K31" s="24">
        <v>35</v>
      </c>
      <c r="L31" s="24">
        <v>1521.7</v>
      </c>
    </row>
    <row r="32" spans="1:14" x14ac:dyDescent="0.25">
      <c r="B32" s="6" t="s">
        <v>337</v>
      </c>
      <c r="C32" s="6" t="s">
        <v>336</v>
      </c>
      <c r="D32" s="6" t="s">
        <v>331</v>
      </c>
      <c r="E32" s="24" t="s">
        <v>338</v>
      </c>
      <c r="F32" s="28">
        <v>24.42594339622642</v>
      </c>
      <c r="G32" s="28">
        <v>16.5</v>
      </c>
      <c r="H32" s="28">
        <v>150.5</v>
      </c>
      <c r="I32" s="27">
        <v>0.2641509433962264</v>
      </c>
      <c r="J32" s="24">
        <v>59</v>
      </c>
      <c r="K32" s="24">
        <v>41</v>
      </c>
      <c r="L32" s="24">
        <v>1752</v>
      </c>
    </row>
    <row r="33" spans="1:14" x14ac:dyDescent="0.25">
      <c r="B33" s="29" t="s">
        <v>339</v>
      </c>
      <c r="C33" s="29" t="s">
        <v>326</v>
      </c>
      <c r="D33" s="29" t="s">
        <v>327</v>
      </c>
      <c r="E33" s="24" t="s">
        <v>340</v>
      </c>
      <c r="F33" s="28">
        <v>22.27524752475247</v>
      </c>
      <c r="G33" s="28">
        <v>15.8</v>
      </c>
      <c r="H33" s="28">
        <v>190.7</v>
      </c>
      <c r="I33" s="27">
        <v>0.198019801980198</v>
      </c>
      <c r="J33" s="24">
        <v>49</v>
      </c>
      <c r="K33" s="24">
        <v>38</v>
      </c>
      <c r="L33" s="24">
        <v>1271.4</v>
      </c>
    </row>
    <row r="36" spans="1:14" ht="24" customHeight="1" x14ac:dyDescent="0.25">
      <c r="A36" s="3" t="s">
        <v>341</v>
      </c>
      <c r="B36" s="3"/>
      <c r="C36" s="3"/>
      <c r="D36" s="3"/>
      <c r="E36" s="3"/>
      <c r="F36" s="3"/>
      <c r="G36" s="3"/>
      <c r="H36" s="3"/>
      <c r="I36" s="3"/>
      <c r="J36" s="3"/>
      <c r="K36" s="3"/>
      <c r="L36" s="3"/>
      <c r="M36" s="3"/>
      <c r="N36" s="3"/>
    </row>
    <row r="38" spans="1:14" x14ac:dyDescent="0.25">
      <c r="B38" s="22" t="s">
        <v>342</v>
      </c>
      <c r="C38" s="22" t="s">
        <v>180</v>
      </c>
      <c r="D38" s="22" t="s">
        <v>309</v>
      </c>
      <c r="E38" s="22" t="s">
        <v>311</v>
      </c>
      <c r="F38" s="22" t="s">
        <v>314</v>
      </c>
      <c r="G38" s="22" t="s">
        <v>343</v>
      </c>
    </row>
    <row r="39" spans="1:14" x14ac:dyDescent="0.25">
      <c r="B39" s="6" t="s">
        <v>75</v>
      </c>
      <c r="C39" s="24">
        <v>14</v>
      </c>
      <c r="D39" s="24">
        <v>46</v>
      </c>
      <c r="E39" s="24">
        <v>65</v>
      </c>
      <c r="F39" s="24">
        <v>73</v>
      </c>
      <c r="G39" s="24">
        <v>198</v>
      </c>
    </row>
    <row r="40" spans="1:14" x14ac:dyDescent="0.25">
      <c r="B40" s="29" t="s">
        <v>77</v>
      </c>
      <c r="C40" s="24">
        <v>7</v>
      </c>
      <c r="D40" s="24">
        <v>27</v>
      </c>
      <c r="E40" s="24">
        <v>57</v>
      </c>
      <c r="F40" s="24">
        <v>65</v>
      </c>
      <c r="G40" s="24">
        <v>156</v>
      </c>
    </row>
    <row r="41" spans="1:14" x14ac:dyDescent="0.25">
      <c r="B41" s="6" t="s">
        <v>79</v>
      </c>
      <c r="C41" s="24">
        <v>20</v>
      </c>
      <c r="D41" s="24">
        <v>30</v>
      </c>
      <c r="E41" s="24">
        <v>55</v>
      </c>
      <c r="F41" s="24">
        <v>72</v>
      </c>
      <c r="G41" s="24">
        <v>177</v>
      </c>
    </row>
    <row r="42" spans="1:14" x14ac:dyDescent="0.25">
      <c r="B42" s="29" t="s">
        <v>81</v>
      </c>
      <c r="C42" s="24">
        <v>14</v>
      </c>
      <c r="D42" s="24">
        <v>26</v>
      </c>
      <c r="E42" s="24">
        <v>57</v>
      </c>
      <c r="F42" s="24">
        <v>73</v>
      </c>
      <c r="G42" s="24">
        <v>170</v>
      </c>
    </row>
    <row r="43" spans="1:14" x14ac:dyDescent="0.25">
      <c r="B43" s="6" t="s">
        <v>83</v>
      </c>
      <c r="C43" s="24">
        <v>16</v>
      </c>
      <c r="D43" s="24">
        <v>47</v>
      </c>
      <c r="E43" s="24">
        <v>60</v>
      </c>
      <c r="F43" s="24">
        <v>65</v>
      </c>
      <c r="G43" s="24">
        <v>188</v>
      </c>
    </row>
    <row r="44" spans="1:14" x14ac:dyDescent="0.25">
      <c r="B44" s="29" t="s">
        <v>85</v>
      </c>
      <c r="C44" s="24">
        <v>27</v>
      </c>
      <c r="D44" s="24">
        <v>35</v>
      </c>
      <c r="E44" s="24">
        <v>74</v>
      </c>
      <c r="F44" s="24">
        <v>79</v>
      </c>
      <c r="G44" s="24">
        <v>215</v>
      </c>
    </row>
    <row r="45" spans="1:14" x14ac:dyDescent="0.25">
      <c r="B45" s="6" t="s">
        <v>87</v>
      </c>
      <c r="C45" s="24">
        <v>21</v>
      </c>
      <c r="D45" s="24">
        <v>59</v>
      </c>
      <c r="E45" s="24">
        <v>86</v>
      </c>
      <c r="F45" s="24">
        <v>93</v>
      </c>
      <c r="G45" s="24">
        <v>259</v>
      </c>
    </row>
    <row r="65" spans="1:14" ht="24" customHeight="1" x14ac:dyDescent="0.25">
      <c r="A65" s="3" t="s">
        <v>344</v>
      </c>
      <c r="B65" s="3"/>
      <c r="C65" s="3"/>
      <c r="D65" s="3"/>
      <c r="E65" s="3"/>
      <c r="F65" s="3"/>
      <c r="G65" s="3"/>
      <c r="H65" s="3"/>
      <c r="I65" s="3"/>
      <c r="J65" s="3"/>
      <c r="K65" s="3"/>
      <c r="L65" s="3"/>
      <c r="M65" s="3"/>
      <c r="N65" s="3"/>
    </row>
    <row r="67" spans="1:14" x14ac:dyDescent="0.25">
      <c r="B67" s="22" t="s">
        <v>345</v>
      </c>
      <c r="C67" s="22" t="s">
        <v>346</v>
      </c>
      <c r="D67" s="22" t="s">
        <v>347</v>
      </c>
      <c r="E67" s="22" t="s">
        <v>348</v>
      </c>
      <c r="F67" s="22" t="s">
        <v>349</v>
      </c>
      <c r="G67" s="22" t="s">
        <v>350</v>
      </c>
      <c r="H67" s="22" t="s">
        <v>351</v>
      </c>
    </row>
    <row r="68" spans="1:14" x14ac:dyDescent="0.25">
      <c r="B68" s="6" t="s">
        <v>352</v>
      </c>
      <c r="C68" s="24" t="s">
        <v>182</v>
      </c>
      <c r="D68" s="28">
        <v>1.349924814728286</v>
      </c>
      <c r="E68" s="25">
        <v>0.1750735348425345</v>
      </c>
      <c r="F68" s="28">
        <v>7.093433416207538</v>
      </c>
      <c r="G68" s="27">
        <v>0.8402113542379864</v>
      </c>
      <c r="H68" s="28">
        <v>47.24285714285714</v>
      </c>
    </row>
    <row r="69" spans="1:14" x14ac:dyDescent="0.25">
      <c r="B69" s="29" t="s">
        <v>353</v>
      </c>
      <c r="C69" s="24" t="s">
        <v>177</v>
      </c>
      <c r="D69" s="28">
        <v>1.992241332212377</v>
      </c>
      <c r="E69" s="25">
        <v>0.2599938102881374</v>
      </c>
      <c r="F69" s="28">
        <v>6.665310172870529</v>
      </c>
      <c r="G69" s="27">
        <v>0.8367046575775178</v>
      </c>
      <c r="H69" s="28">
        <v>48.68333333333333</v>
      </c>
    </row>
    <row r="70" spans="1:14" x14ac:dyDescent="0.25">
      <c r="B70" s="6" t="s">
        <v>354</v>
      </c>
      <c r="C70" s="24" t="s">
        <v>177</v>
      </c>
      <c r="D70" s="28">
        <v>3.712729664746175</v>
      </c>
      <c r="E70" s="25">
        <v>0.2099779596844325</v>
      </c>
      <c r="F70" s="28">
        <v>5.419371758345336</v>
      </c>
      <c r="G70" s="27">
        <v>0.8412059428965023</v>
      </c>
      <c r="H70" s="28">
        <v>54.03333333333333</v>
      </c>
    </row>
    <row r="71" spans="1:14" x14ac:dyDescent="0.25">
      <c r="B71" s="29" t="s">
        <v>355</v>
      </c>
      <c r="C71" s="24" t="s">
        <v>177</v>
      </c>
      <c r="D71" s="28">
        <v>10.29648309090475</v>
      </c>
      <c r="E71" s="25">
        <v>0.1585523770435401</v>
      </c>
      <c r="F71" s="28">
        <v>4.841534701368324</v>
      </c>
      <c r="G71" s="27">
        <v>0.8538013361097961</v>
      </c>
      <c r="H71" s="28">
        <v>50.28333333333333</v>
      </c>
    </row>
    <row r="73" spans="1:14" x14ac:dyDescent="0.25">
      <c r="B73" s="7" t="s">
        <v>356</v>
      </c>
      <c r="C73" s="7"/>
      <c r="D73" s="7"/>
      <c r="E73" s="7"/>
      <c r="F73" s="7"/>
      <c r="G73" s="7"/>
      <c r="H73" s="7"/>
      <c r="I73" s="7"/>
      <c r="J73" s="7"/>
      <c r="K73" s="7"/>
    </row>
    <row r="74" spans="1:14" x14ac:dyDescent="0.25">
      <c r="B74" s="7"/>
      <c r="C74" s="7"/>
      <c r="D74" s="7"/>
      <c r="E74" s="7"/>
      <c r="F74" s="7"/>
      <c r="G74" s="7"/>
      <c r="H74" s="7"/>
      <c r="I74" s="7"/>
      <c r="J74" s="7"/>
      <c r="K74" s="7"/>
    </row>
    <row r="75" spans="1:14" x14ac:dyDescent="0.25">
      <c r="B75" s="7"/>
      <c r="C75" s="7"/>
      <c r="D75" s="7"/>
      <c r="E75" s="7"/>
      <c r="F75" s="7"/>
      <c r="G75" s="7"/>
      <c r="H75" s="7"/>
      <c r="I75" s="7"/>
      <c r="J75" s="7"/>
      <c r="K75" s="7"/>
    </row>
    <row r="76" spans="1:14" x14ac:dyDescent="0.25">
      <c r="B76" s="7"/>
      <c r="C76" s="7"/>
      <c r="D76" s="7"/>
      <c r="E76" s="7"/>
      <c r="F76" s="7"/>
      <c r="G76" s="7"/>
      <c r="H76" s="7"/>
      <c r="I76" s="7"/>
      <c r="J76" s="7"/>
      <c r="K76" s="7"/>
    </row>
    <row r="77" spans="1:14" x14ac:dyDescent="0.25">
      <c r="B77" s="7"/>
      <c r="C77" s="7"/>
      <c r="D77" s="7"/>
      <c r="E77" s="7"/>
      <c r="F77" s="7"/>
      <c r="G77" s="7"/>
      <c r="H77" s="7"/>
      <c r="I77" s="7"/>
      <c r="J77" s="7"/>
      <c r="K77" s="7"/>
    </row>
    <row r="79" spans="1:14" ht="24" customHeight="1" x14ac:dyDescent="0.25">
      <c r="A79" s="3" t="s">
        <v>357</v>
      </c>
      <c r="B79" s="3"/>
      <c r="C79" s="3"/>
      <c r="D79" s="3"/>
      <c r="E79" s="3"/>
      <c r="F79" s="3"/>
      <c r="G79" s="3"/>
      <c r="H79" s="3"/>
      <c r="I79" s="3"/>
      <c r="J79" s="3"/>
      <c r="K79" s="3"/>
      <c r="L79" s="3"/>
      <c r="M79" s="3"/>
      <c r="N79" s="3"/>
    </row>
    <row r="81" spans="2:11" x14ac:dyDescent="0.25">
      <c r="B81" s="22" t="s">
        <v>130</v>
      </c>
      <c r="C81" s="22" t="s">
        <v>90</v>
      </c>
      <c r="D81" s="22" t="s">
        <v>65</v>
      </c>
      <c r="E81" s="22" t="s">
        <v>72</v>
      </c>
      <c r="F81" s="22" t="s">
        <v>358</v>
      </c>
      <c r="G81" s="22" t="s">
        <v>359</v>
      </c>
      <c r="H81" s="22" t="s">
        <v>66</v>
      </c>
      <c r="I81" s="22" t="s">
        <v>360</v>
      </c>
    </row>
    <row r="82" spans="2:11" x14ac:dyDescent="0.25">
      <c r="B82" s="6" t="s">
        <v>146</v>
      </c>
      <c r="C82" s="6" t="s">
        <v>102</v>
      </c>
      <c r="D82" s="6" t="s">
        <v>85</v>
      </c>
      <c r="E82" s="24" t="s">
        <v>192</v>
      </c>
      <c r="F82" s="28">
        <v>5</v>
      </c>
      <c r="G82" s="25">
        <v>7.800000000000001</v>
      </c>
      <c r="H82" s="23">
        <v>906153.9100000006</v>
      </c>
      <c r="I82" s="25">
        <v>0.08206344159801549</v>
      </c>
    </row>
    <row r="83" spans="2:11" x14ac:dyDescent="0.25">
      <c r="B83" s="29" t="s">
        <v>146</v>
      </c>
      <c r="C83" s="29" t="s">
        <v>102</v>
      </c>
      <c r="D83" s="29" t="s">
        <v>87</v>
      </c>
      <c r="E83" s="24" t="s">
        <v>361</v>
      </c>
      <c r="F83" s="28">
        <v>18.3</v>
      </c>
      <c r="G83" s="25">
        <v>1.836363636363636</v>
      </c>
      <c r="H83" s="23">
        <v>922088.0500000003</v>
      </c>
      <c r="I83" s="25">
        <v>0.06279984033091712</v>
      </c>
    </row>
    <row r="84" spans="2:11" x14ac:dyDescent="0.25">
      <c r="B84" s="6" t="s">
        <v>201</v>
      </c>
      <c r="C84" s="6" t="s">
        <v>102</v>
      </c>
      <c r="D84" s="6" t="s">
        <v>83</v>
      </c>
      <c r="E84" s="24" t="s">
        <v>199</v>
      </c>
      <c r="F84" s="28">
        <v>4.3</v>
      </c>
      <c r="G84" s="25">
        <v>1.538461538461539</v>
      </c>
      <c r="H84" s="23">
        <v>464662.5500000001</v>
      </c>
      <c r="I84" s="25">
        <v>0.1321740072002846</v>
      </c>
    </row>
    <row r="85" spans="2:11" x14ac:dyDescent="0.25">
      <c r="B85" s="29" t="s">
        <v>246</v>
      </c>
      <c r="C85" s="29" t="s">
        <v>98</v>
      </c>
      <c r="D85" s="29" t="s">
        <v>87</v>
      </c>
      <c r="E85" s="24" t="s">
        <v>362</v>
      </c>
      <c r="F85" s="28">
        <v>4.7</v>
      </c>
      <c r="G85" s="25">
        <v>6.928571428571428</v>
      </c>
      <c r="H85" s="23">
        <v>64394.12999999998</v>
      </c>
      <c r="I85" s="25">
        <v>-0.4251582260824904</v>
      </c>
    </row>
    <row r="87" spans="2:11" x14ac:dyDescent="0.25">
      <c r="B87" s="7" t="s">
        <v>363</v>
      </c>
      <c r="C87" s="7"/>
      <c r="D87" s="7"/>
      <c r="E87" s="7"/>
      <c r="F87" s="7"/>
      <c r="G87" s="7"/>
      <c r="H87" s="7"/>
      <c r="I87" s="7"/>
      <c r="J87" s="7"/>
      <c r="K87" s="7"/>
    </row>
    <row r="88" spans="2:11" x14ac:dyDescent="0.25">
      <c r="B88" s="7"/>
      <c r="C88" s="7"/>
      <c r="D88" s="7"/>
      <c r="E88" s="7"/>
      <c r="F88" s="7"/>
      <c r="G88" s="7"/>
      <c r="H88" s="7"/>
      <c r="I88" s="7"/>
      <c r="J88" s="7"/>
      <c r="K88" s="7"/>
    </row>
    <row r="89" spans="2:11" x14ac:dyDescent="0.25">
      <c r="B89" s="7"/>
      <c r="C89" s="7"/>
      <c r="D89" s="7"/>
      <c r="E89" s="7"/>
      <c r="F89" s="7"/>
      <c r="G89" s="7"/>
      <c r="H89" s="7"/>
      <c r="I89" s="7"/>
      <c r="J89" s="7"/>
      <c r="K89" s="7"/>
    </row>
    <row r="90" spans="2:11" x14ac:dyDescent="0.25">
      <c r="B90" s="7"/>
      <c r="C90" s="7"/>
      <c r="D90" s="7"/>
      <c r="E90" s="7"/>
      <c r="F90" s="7"/>
      <c r="G90" s="7"/>
      <c r="H90" s="7"/>
      <c r="I90" s="7"/>
      <c r="J90" s="7"/>
      <c r="K90" s="7"/>
    </row>
  </sheetData>
  <mergeCells count="23">
    <mergeCell ref="B6:D6"/>
    <mergeCell ref="B7:D7"/>
    <mergeCell ref="B8:D8"/>
    <mergeCell ref="E6:G6"/>
    <mergeCell ref="E7:G7"/>
    <mergeCell ref="E8:G8"/>
    <mergeCell ref="H6:J6"/>
    <mergeCell ref="H7:J7"/>
    <mergeCell ref="H8:J8"/>
    <mergeCell ref="K6:M6"/>
    <mergeCell ref="K7:M7"/>
    <mergeCell ref="K8:M8"/>
    <mergeCell ref="N6:P6"/>
    <mergeCell ref="N7:P7"/>
    <mergeCell ref="N8:P8"/>
    <mergeCell ref="A11:N11"/>
    <mergeCell ref="B19:K23"/>
    <mergeCell ref="A25:N25"/>
    <mergeCell ref="A36:N36"/>
    <mergeCell ref="A65:N65"/>
    <mergeCell ref="B73:K77"/>
    <mergeCell ref="A79:N79"/>
    <mergeCell ref="B87:K90"/>
  </mergeCells>
  <conditionalFormatting sqref="E28:E33">
    <cfRule type="dataBar" priority="2">
      <dataBar>
        <cfvo type="min"/>
        <cfvo type="max"/>
        <color rgb="FF12305B"/>
      </dataBar>
      <extLst>
        <ext xmlns:x14="http://schemas.microsoft.com/office/spreadsheetml/2009/9/main" uri="{B025F937-C7B1-47D3-B67F-A62EFF666E3E}">
          <x14:id>{DA7ABA51-AAAA-BBBB-0005-000000000001}</x14:id>
        </ext>
      </extLst>
    </cfRule>
  </conditionalFormatting>
  <conditionalFormatting sqref="H14:H17">
    <cfRule type="colorScale" priority="1">
      <colorScale>
        <cfvo type="min" val="0"/>
        <cfvo type="percentile" val="50"/>
        <cfvo type="max" val="0"/>
        <color rgb="FFABEBC6"/>
        <color rgb="FFFCF3CF"/>
        <color rgb="FFF5B7B1"/>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FF12305B"/>
              <x14:negativeFillColor rgb="FFFF0000"/>
              <x14:negativeBorderColor rgb="FFFF0000"/>
              <x14:axisColor rgb="FF000000"/>
            </x14:dataBar>
          </x14:cfRule>
          <xm:sqref>E28:E33</xm:sqref>
        </x14:conditionalFormatting>
      </x14:conditionalFormattings>
    </ext>
  </extLst>
</worksheet>
</file>

<file path=xl/worksheets/sheet6.xml><?xml version="1.0" encoding="utf-8"?>
<worksheet xmlns="http://schemas.openxmlformats.org/spreadsheetml/2006/main" xmlns:r="http://schemas.openxmlformats.org/officeDocument/2006/relationships">
  <dimension ref="A2:L33"/>
  <sheetViews>
    <sheetView showGridLines="0" workbookViewId="0"/>
  </sheetViews>
  <sheetFormatPr defaultRowHeight="15"/>
  <cols>
    <col min="1" max="1" width="2.7109375" customWidth="1"/>
    <col min="2" max="2" width="24.7109375" customWidth="1"/>
    <col min="3" max="3" width="15.7109375" customWidth="1"/>
    <col min="4" max="4" width="22.7109375" customWidth="1"/>
    <col min="5" max="5" width="11.7109375" customWidth="1"/>
    <col min="6" max="6" width="58.7109375" customWidth="1"/>
    <col min="7" max="7" width="18.7109375" customWidth="1"/>
    <col min="8" max="8" width="14.7109375" customWidth="1"/>
    <col min="9" max="9" width="19.7109375" customWidth="1"/>
    <col min="10" max="10" width="14.7109375" customWidth="1"/>
    <col min="11" max="11" width="56.7109375" customWidth="1"/>
    <col min="12" max="12" width="14.7109375" customWidth="1"/>
  </cols>
  <sheetData>
    <row r="2" spans="1:12">
      <c r="B2" s="1" t="s">
        <v>364</v>
      </c>
    </row>
    <row r="3" spans="1:12">
      <c r="B3" s="2" t="s">
        <v>365</v>
      </c>
    </row>
    <row r="6" spans="1:12" ht="24" customHeight="1">
      <c r="A6" s="3" t="s">
        <v>366</v>
      </c>
      <c r="B6" s="3"/>
      <c r="C6" s="3"/>
      <c r="D6" s="3"/>
      <c r="E6" s="3"/>
      <c r="F6" s="3"/>
      <c r="G6" s="3"/>
      <c r="H6" s="3"/>
      <c r="I6" s="3"/>
      <c r="J6" s="3"/>
      <c r="K6" s="3"/>
      <c r="L6" s="3"/>
    </row>
    <row r="8" spans="1:12">
      <c r="B8" s="22" t="s">
        <v>130</v>
      </c>
      <c r="C8" s="22" t="s">
        <v>90</v>
      </c>
      <c r="D8" s="22" t="s">
        <v>367</v>
      </c>
      <c r="E8" s="22" t="s">
        <v>368</v>
      </c>
      <c r="F8" s="22" t="s">
        <v>369</v>
      </c>
      <c r="G8" s="22" t="s">
        <v>144</v>
      </c>
    </row>
    <row r="9" spans="1:12">
      <c r="B9" s="6" t="s">
        <v>246</v>
      </c>
      <c r="C9" s="6" t="s">
        <v>98</v>
      </c>
      <c r="D9" s="6" t="s">
        <v>370</v>
      </c>
      <c r="E9" s="6" t="s">
        <v>180</v>
      </c>
      <c r="F9" s="6" t="s">
        <v>371</v>
      </c>
      <c r="G9" s="23">
        <v>571517.8399999997</v>
      </c>
    </row>
    <row r="10" spans="1:12">
      <c r="B10" s="29" t="s">
        <v>146</v>
      </c>
      <c r="C10" s="29" t="s">
        <v>102</v>
      </c>
      <c r="D10" s="29" t="s">
        <v>372</v>
      </c>
      <c r="E10" s="29" t="s">
        <v>180</v>
      </c>
      <c r="F10" s="29" t="s">
        <v>373</v>
      </c>
      <c r="G10" s="23">
        <v>0</v>
      </c>
    </row>
    <row r="11" spans="1:12">
      <c r="B11" s="6" t="s">
        <v>246</v>
      </c>
      <c r="C11" s="6" t="s">
        <v>98</v>
      </c>
      <c r="D11" s="6" t="s">
        <v>372</v>
      </c>
      <c r="E11" s="6" t="s">
        <v>180</v>
      </c>
      <c r="F11" s="6" t="s">
        <v>374</v>
      </c>
      <c r="G11" s="23">
        <v>0</v>
      </c>
    </row>
    <row r="12" spans="1:12">
      <c r="B12" s="29" t="s">
        <v>181</v>
      </c>
      <c r="C12" s="29" t="s">
        <v>104</v>
      </c>
      <c r="D12" s="29" t="s">
        <v>375</v>
      </c>
      <c r="E12" s="29" t="s">
        <v>311</v>
      </c>
      <c r="F12" s="29" t="s">
        <v>376</v>
      </c>
      <c r="G12" s="23">
        <v>0</v>
      </c>
    </row>
    <row r="13" spans="1:12">
      <c r="B13" s="6" t="s">
        <v>210</v>
      </c>
      <c r="C13" s="6" t="s">
        <v>98</v>
      </c>
      <c r="D13" s="6" t="s">
        <v>375</v>
      </c>
      <c r="E13" s="6" t="s">
        <v>311</v>
      </c>
      <c r="F13" s="6" t="s">
        <v>376</v>
      </c>
      <c r="G13" s="23">
        <v>0</v>
      </c>
    </row>
    <row r="16" spans="1:12" ht="24" customHeight="1">
      <c r="A16" s="3" t="s">
        <v>377</v>
      </c>
      <c r="B16" s="3"/>
      <c r="C16" s="3"/>
      <c r="D16" s="3"/>
      <c r="E16" s="3"/>
      <c r="F16" s="3"/>
      <c r="G16" s="3"/>
      <c r="H16" s="3"/>
      <c r="I16" s="3"/>
      <c r="J16" s="3"/>
      <c r="K16" s="3"/>
      <c r="L16" s="3"/>
    </row>
    <row r="18" spans="2:11">
      <c r="B18" s="22" t="s">
        <v>130</v>
      </c>
      <c r="C18" s="22" t="s">
        <v>90</v>
      </c>
      <c r="D18" s="22" t="s">
        <v>65</v>
      </c>
      <c r="E18" s="22" t="s">
        <v>378</v>
      </c>
      <c r="F18" s="22" t="s">
        <v>66</v>
      </c>
      <c r="G18" s="22" t="s">
        <v>379</v>
      </c>
      <c r="H18" s="22" t="s">
        <v>72</v>
      </c>
      <c r="I18" s="22" t="s">
        <v>380</v>
      </c>
      <c r="J18" s="22" t="s">
        <v>70</v>
      </c>
      <c r="K18" s="22" t="s">
        <v>381</v>
      </c>
    </row>
    <row r="19" spans="2:11">
      <c r="B19" s="6" t="s">
        <v>246</v>
      </c>
      <c r="C19" s="6" t="s">
        <v>98</v>
      </c>
      <c r="D19" s="6" t="s">
        <v>87</v>
      </c>
      <c r="E19" s="28">
        <v>0.7642480041155418</v>
      </c>
      <c r="F19" s="23">
        <v>64394.12999999998</v>
      </c>
      <c r="G19" s="25">
        <v>-0.3767779859209316</v>
      </c>
      <c r="H19" s="24" t="s">
        <v>362</v>
      </c>
      <c r="I19" s="25">
        <v>5.937500000000001</v>
      </c>
      <c r="J19" s="27">
        <v>0.7664670658682635</v>
      </c>
      <c r="K19" s="6" t="s">
        <v>382</v>
      </c>
    </row>
    <row r="20" spans="2:11">
      <c r="B20" s="29" t="s">
        <v>153</v>
      </c>
      <c r="C20" s="29" t="s">
        <v>104</v>
      </c>
      <c r="D20" s="29" t="s">
        <v>83</v>
      </c>
      <c r="E20" s="28">
        <v>0.6371355361946693</v>
      </c>
      <c r="F20" s="23">
        <v>832191.8099999996</v>
      </c>
      <c r="G20" s="25">
        <v>0.6830871191667585</v>
      </c>
      <c r="H20" s="24" t="s">
        <v>177</v>
      </c>
      <c r="I20" s="25">
        <v>-0.25</v>
      </c>
      <c r="J20" s="27">
        <v>0.8350785340314136</v>
      </c>
      <c r="K20" s="29" t="s">
        <v>383</v>
      </c>
    </row>
    <row r="21" spans="2:11">
      <c r="B21" s="6" t="s">
        <v>244</v>
      </c>
      <c r="C21" s="6" t="s">
        <v>106</v>
      </c>
      <c r="D21" s="6" t="s">
        <v>77</v>
      </c>
      <c r="E21" s="28">
        <v>0.632899661443981</v>
      </c>
      <c r="F21" s="23">
        <v>98435.33999999998</v>
      </c>
      <c r="G21" s="25">
        <v>-0.04809596157545079</v>
      </c>
      <c r="H21" s="24" t="s">
        <v>199</v>
      </c>
      <c r="I21" s="25">
        <v>4.5</v>
      </c>
      <c r="J21" s="27">
        <v>0.837471783295711</v>
      </c>
      <c r="K21" s="6" t="s">
        <v>384</v>
      </c>
    </row>
    <row r="22" spans="2:11">
      <c r="B22" s="29" t="s">
        <v>193</v>
      </c>
      <c r="C22" s="29" t="s">
        <v>102</v>
      </c>
      <c r="D22" s="29" t="s">
        <v>81</v>
      </c>
      <c r="E22" s="28">
        <v>0.5957074869674311</v>
      </c>
      <c r="F22" s="23">
        <v>465780.8899999998</v>
      </c>
      <c r="G22" s="25">
        <v>0.1208905690940507</v>
      </c>
      <c r="H22" s="24" t="s">
        <v>172</v>
      </c>
      <c r="I22" s="25">
        <v>-0.06249999999999994</v>
      </c>
      <c r="J22" s="27">
        <v>0.8063241106719368</v>
      </c>
      <c r="K22" s="29" t="s">
        <v>385</v>
      </c>
    </row>
    <row r="23" spans="2:11">
      <c r="B23" s="6" t="s">
        <v>153</v>
      </c>
      <c r="C23" s="6" t="s">
        <v>104</v>
      </c>
      <c r="D23" s="6" t="s">
        <v>85</v>
      </c>
      <c r="E23" s="28">
        <v>0.5838520680228005</v>
      </c>
      <c r="F23" s="23">
        <v>845123.5999999997</v>
      </c>
      <c r="G23" s="25">
        <v>0.5037965326975524</v>
      </c>
      <c r="H23" s="24" t="s">
        <v>202</v>
      </c>
      <c r="I23" s="25">
        <v>0.5789473684210527</v>
      </c>
      <c r="J23" s="27">
        <v>0.8462566844919787</v>
      </c>
      <c r="K23" s="6" t="s">
        <v>386</v>
      </c>
    </row>
    <row r="24" spans="2:11">
      <c r="B24" s="29" t="s">
        <v>146</v>
      </c>
      <c r="C24" s="29" t="s">
        <v>102</v>
      </c>
      <c r="D24" s="29" t="s">
        <v>85</v>
      </c>
      <c r="E24" s="28">
        <v>0.5563209457700027</v>
      </c>
      <c r="F24" s="23">
        <v>906153.9100000006</v>
      </c>
      <c r="G24" s="25">
        <v>0.1476471537695769</v>
      </c>
      <c r="H24" s="24" t="s">
        <v>192</v>
      </c>
      <c r="I24" s="25">
        <v>6.857142857142858</v>
      </c>
      <c r="J24" s="27">
        <v>0.8389355742296919</v>
      </c>
      <c r="K24" s="29" t="s">
        <v>387</v>
      </c>
    </row>
    <row r="25" spans="2:11">
      <c r="B25" s="6" t="s">
        <v>153</v>
      </c>
      <c r="C25" s="6" t="s">
        <v>104</v>
      </c>
      <c r="D25" s="6" t="s">
        <v>87</v>
      </c>
      <c r="E25" s="28">
        <v>0.5521063418444302</v>
      </c>
      <c r="F25" s="23">
        <v>880239.5499999997</v>
      </c>
      <c r="G25" s="25">
        <v>0.4449540339385004</v>
      </c>
      <c r="H25" s="24" t="s">
        <v>207</v>
      </c>
      <c r="I25" s="25">
        <v>0.5599999999999999</v>
      </c>
      <c r="J25" s="27">
        <v>0.8389175257731959</v>
      </c>
      <c r="K25" s="6" t="s">
        <v>388</v>
      </c>
    </row>
    <row r="26" spans="2:11">
      <c r="B26" s="29" t="s">
        <v>146</v>
      </c>
      <c r="C26" s="29" t="s">
        <v>102</v>
      </c>
      <c r="D26" s="29" t="s">
        <v>87</v>
      </c>
      <c r="E26" s="28">
        <v>0.536018814881841</v>
      </c>
      <c r="F26" s="23">
        <v>922088.0500000003</v>
      </c>
      <c r="G26" s="25">
        <v>0.1397802472484986</v>
      </c>
      <c r="H26" s="24" t="s">
        <v>361</v>
      </c>
      <c r="I26" s="25">
        <v>3.333333333333333</v>
      </c>
      <c r="J26" s="27">
        <v>0.8350253807106599</v>
      </c>
      <c r="K26" s="29" t="s">
        <v>389</v>
      </c>
    </row>
    <row r="28" spans="2:11">
      <c r="B28" s="7" t="s">
        <v>390</v>
      </c>
      <c r="C28" s="7"/>
      <c r="D28" s="7"/>
      <c r="E28" s="7"/>
      <c r="F28" s="7"/>
      <c r="G28" s="7"/>
      <c r="H28" s="7"/>
      <c r="I28" s="7"/>
      <c r="J28" s="7"/>
      <c r="K28" s="7"/>
    </row>
    <row r="29" spans="2:11">
      <c r="B29" s="7"/>
      <c r="C29" s="7"/>
      <c r="D29" s="7"/>
      <c r="E29" s="7"/>
      <c r="F29" s="7"/>
      <c r="G29" s="7"/>
      <c r="H29" s="7"/>
      <c r="I29" s="7"/>
      <c r="J29" s="7"/>
      <c r="K29" s="7"/>
    </row>
    <row r="30" spans="2:11">
      <c r="B30" s="7"/>
      <c r="C30" s="7"/>
      <c r="D30" s="7"/>
      <c r="E30" s="7"/>
      <c r="F30" s="7"/>
      <c r="G30" s="7"/>
      <c r="H30" s="7"/>
      <c r="I30" s="7"/>
      <c r="J30" s="7"/>
      <c r="K30" s="7"/>
    </row>
    <row r="31" spans="2:11">
      <c r="B31" s="7"/>
      <c r="C31" s="7"/>
      <c r="D31" s="7"/>
      <c r="E31" s="7"/>
      <c r="F31" s="7"/>
      <c r="G31" s="7"/>
      <c r="H31" s="7"/>
      <c r="I31" s="7"/>
      <c r="J31" s="7"/>
      <c r="K31" s="7"/>
    </row>
    <row r="32" spans="2:11">
      <c r="B32" s="7"/>
      <c r="C32" s="7"/>
      <c r="D32" s="7"/>
      <c r="E32" s="7"/>
      <c r="F32" s="7"/>
      <c r="G32" s="7"/>
      <c r="H32" s="7"/>
      <c r="I32" s="7"/>
      <c r="J32" s="7"/>
      <c r="K32" s="7"/>
    </row>
    <row r="33" spans="2:11">
      <c r="B33" s="7"/>
      <c r="C33" s="7"/>
      <c r="D33" s="7"/>
      <c r="E33" s="7"/>
      <c r="F33" s="7"/>
      <c r="G33" s="7"/>
      <c r="H33" s="7"/>
      <c r="I33" s="7"/>
      <c r="J33" s="7"/>
      <c r="K33" s="7"/>
    </row>
  </sheetData>
  <mergeCells count="3">
    <mergeCell ref="A6:L6"/>
    <mergeCell ref="A16:L16"/>
    <mergeCell ref="B28:K33"/>
  </mergeCells>
  <conditionalFormatting sqref="E19:E26">
    <cfRule type="colorScale" priority="2">
      <colorScale>
        <cfvo type="min" val="0"/>
        <cfvo type="percentile" val="50"/>
        <cfvo type="max" val="0"/>
        <color rgb="FFFCF3CF"/>
        <color rgb="FFFAD7A0"/>
        <color rgb="FFF5B7B1"/>
      </colorScale>
    </cfRule>
  </conditionalFormatting>
  <conditionalFormatting sqref="E9:E13">
    <cfRule type="containsText" dxfId="2" priority="1" operator="containsText" text="Critical">
      <formula>NOT(ISERROR(SEARCH("Critical",E9)))</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05"/>
  <sheetViews>
    <sheetView showGridLines="0" workbookViewId="0"/>
  </sheetViews>
  <sheetFormatPr defaultRowHeight="15" x14ac:dyDescent="0.25"/>
  <cols>
    <col min="1" max="1" width="2.7109375" customWidth="1"/>
    <col min="2" max="2" width="30.7109375" customWidth="1"/>
    <col min="3" max="3" width="34.7109375" customWidth="1"/>
    <col min="4" max="4" width="15.7109375" customWidth="1"/>
    <col min="5" max="5" width="14.7109375" customWidth="1"/>
    <col min="6" max="6" width="44.7109375" customWidth="1"/>
    <col min="7" max="9" width="15.7109375" customWidth="1"/>
    <col min="10" max="10" width="19.7109375" customWidth="1"/>
    <col min="11" max="12" width="15.7109375" customWidth="1"/>
  </cols>
  <sheetData>
    <row r="2" spans="1:12" x14ac:dyDescent="0.25">
      <c r="B2" s="1" t="s">
        <v>391</v>
      </c>
    </row>
    <row r="3" spans="1:12" x14ac:dyDescent="0.25">
      <c r="B3" s="2" t="s">
        <v>392</v>
      </c>
    </row>
    <row r="6" spans="1:12" ht="24" customHeight="1" x14ac:dyDescent="0.25">
      <c r="A6" s="3" t="s">
        <v>393</v>
      </c>
      <c r="B6" s="3"/>
      <c r="C6" s="3"/>
      <c r="D6" s="3"/>
      <c r="E6" s="3"/>
      <c r="F6" s="3"/>
      <c r="G6" s="3"/>
      <c r="H6" s="3"/>
      <c r="I6" s="3"/>
      <c r="J6" s="3"/>
      <c r="K6" s="3"/>
      <c r="L6" s="3"/>
    </row>
    <row r="8" spans="1:12" x14ac:dyDescent="0.25">
      <c r="B8" s="22" t="s">
        <v>394</v>
      </c>
      <c r="C8" s="22" t="s">
        <v>395</v>
      </c>
      <c r="D8" s="22" t="s">
        <v>396</v>
      </c>
      <c r="E8" s="22" t="s">
        <v>397</v>
      </c>
      <c r="F8" s="22" t="s">
        <v>398</v>
      </c>
    </row>
    <row r="9" spans="1:12" x14ac:dyDescent="0.25">
      <c r="B9" s="6" t="s">
        <v>399</v>
      </c>
      <c r="C9" s="6" t="s">
        <v>400</v>
      </c>
      <c r="D9" s="6" t="s">
        <v>401</v>
      </c>
      <c r="E9" s="6" t="s">
        <v>402</v>
      </c>
      <c r="F9" s="6" t="s">
        <v>403</v>
      </c>
    </row>
    <row r="10" spans="1:12" x14ac:dyDescent="0.25">
      <c r="B10" s="29" t="s">
        <v>404</v>
      </c>
      <c r="C10" s="29" t="s">
        <v>405</v>
      </c>
      <c r="D10" s="29" t="s">
        <v>406</v>
      </c>
      <c r="E10" s="29" t="s">
        <v>407</v>
      </c>
      <c r="F10" s="29" t="s">
        <v>408</v>
      </c>
    </row>
    <row r="11" spans="1:12" x14ac:dyDescent="0.25">
      <c r="B11" s="6" t="s">
        <v>409</v>
      </c>
      <c r="C11" s="6" t="s">
        <v>410</v>
      </c>
      <c r="D11" s="6" t="s">
        <v>406</v>
      </c>
      <c r="E11" s="6" t="s">
        <v>411</v>
      </c>
      <c r="F11" s="6" t="s">
        <v>412</v>
      </c>
    </row>
    <row r="12" spans="1:12" x14ac:dyDescent="0.25">
      <c r="B12" s="29" t="s">
        <v>413</v>
      </c>
      <c r="C12" s="29" t="s">
        <v>414</v>
      </c>
      <c r="D12" s="29" t="s">
        <v>415</v>
      </c>
      <c r="E12" s="29" t="s">
        <v>416</v>
      </c>
      <c r="F12" s="29" t="s">
        <v>417</v>
      </c>
    </row>
    <row r="13" spans="1:12" x14ac:dyDescent="0.25">
      <c r="B13" s="6" t="s">
        <v>418</v>
      </c>
      <c r="C13" s="6" t="s">
        <v>419</v>
      </c>
      <c r="D13" s="6" t="s">
        <v>420</v>
      </c>
      <c r="E13" s="6" t="s">
        <v>421</v>
      </c>
      <c r="F13" s="6" t="s">
        <v>422</v>
      </c>
    </row>
    <row r="16" spans="1:12" ht="24" customHeight="1" x14ac:dyDescent="0.25">
      <c r="A16" s="3" t="s">
        <v>423</v>
      </c>
      <c r="B16" s="3"/>
      <c r="C16" s="3"/>
      <c r="D16" s="3"/>
      <c r="E16" s="3"/>
      <c r="F16" s="3"/>
      <c r="G16" s="3"/>
      <c r="H16" s="3"/>
      <c r="I16" s="3"/>
      <c r="J16" s="3"/>
      <c r="K16" s="3"/>
      <c r="L16" s="3"/>
    </row>
    <row r="18" spans="2:11" x14ac:dyDescent="0.25">
      <c r="B18" s="22" t="s">
        <v>424</v>
      </c>
      <c r="C18" s="22" t="s">
        <v>425</v>
      </c>
      <c r="D18" s="22" t="s">
        <v>426</v>
      </c>
      <c r="E18" s="22" t="s">
        <v>427</v>
      </c>
      <c r="F18" s="22" t="s">
        <v>428</v>
      </c>
      <c r="G18" s="22" t="s">
        <v>429</v>
      </c>
    </row>
    <row r="19" spans="2:11" x14ac:dyDescent="0.25">
      <c r="B19" s="6">
        <v>10</v>
      </c>
      <c r="C19" s="24">
        <v>3507</v>
      </c>
      <c r="D19" s="27">
        <v>0.2789331913793315</v>
      </c>
      <c r="E19" s="27">
        <v>0.2415169660678643</v>
      </c>
      <c r="F19" s="28">
        <v>1.53620555805886</v>
      </c>
      <c r="G19" s="23">
        <v>171688.58</v>
      </c>
    </row>
    <row r="20" spans="2:11" x14ac:dyDescent="0.25">
      <c r="B20" s="29">
        <v>9</v>
      </c>
      <c r="C20" s="24">
        <v>3509</v>
      </c>
      <c r="D20" s="27">
        <v>0.234729778756488</v>
      </c>
      <c r="E20" s="27">
        <v>0.2151610145340553</v>
      </c>
      <c r="F20" s="28">
        <v>1.368564502056233</v>
      </c>
      <c r="G20" s="23">
        <v>144701.2</v>
      </c>
    </row>
    <row r="21" spans="2:11" x14ac:dyDescent="0.25">
      <c r="B21" s="6">
        <v>8</v>
      </c>
      <c r="C21" s="24">
        <v>3501</v>
      </c>
      <c r="D21" s="27">
        <v>0.2087462642016296</v>
      </c>
      <c r="E21" s="27">
        <v>0.1919451585261354</v>
      </c>
      <c r="F21" s="28">
        <v>1.2208965033433</v>
      </c>
      <c r="G21" s="23">
        <v>114252.89</v>
      </c>
    </row>
    <row r="22" spans="2:11" x14ac:dyDescent="0.25">
      <c r="B22" s="29">
        <v>7</v>
      </c>
      <c r="C22" s="24">
        <v>3510</v>
      </c>
      <c r="D22" s="27">
        <v>0.1896975093114846</v>
      </c>
      <c r="E22" s="27">
        <v>0.1985754985754986</v>
      </c>
      <c r="F22" s="28">
        <v>1.263069794112405</v>
      </c>
      <c r="G22" s="23">
        <v>133066.26</v>
      </c>
    </row>
    <row r="23" spans="2:11" x14ac:dyDescent="0.25">
      <c r="B23" s="6">
        <v>6</v>
      </c>
      <c r="C23" s="24">
        <v>3467</v>
      </c>
      <c r="D23" s="27">
        <v>0.1717976380844291</v>
      </c>
      <c r="E23" s="27">
        <v>0.1794058263628497</v>
      </c>
      <c r="F23" s="28">
        <v>1.141138165545314</v>
      </c>
      <c r="G23" s="23">
        <v>108781.46</v>
      </c>
    </row>
    <row r="24" spans="2:11" x14ac:dyDescent="0.25">
      <c r="B24" s="29">
        <v>5</v>
      </c>
      <c r="C24" s="24">
        <v>3552</v>
      </c>
      <c r="D24" s="27">
        <v>0.1535641393150948</v>
      </c>
      <c r="E24" s="27">
        <v>0.1585022522522522</v>
      </c>
      <c r="F24" s="28">
        <v>1.008177789076474</v>
      </c>
      <c r="G24" s="23">
        <v>98912.05</v>
      </c>
    </row>
    <row r="25" spans="2:11" x14ac:dyDescent="0.25">
      <c r="B25" s="6">
        <v>4</v>
      </c>
      <c r="C25" s="24">
        <v>3509</v>
      </c>
      <c r="D25" s="27">
        <v>0.1285399582858582</v>
      </c>
      <c r="E25" s="27">
        <v>0.1194072385294955</v>
      </c>
      <c r="F25" s="28">
        <v>0.7595079819358428</v>
      </c>
      <c r="G25" s="23">
        <v>64174.05</v>
      </c>
    </row>
    <row r="26" spans="2:11" x14ac:dyDescent="0.25">
      <c r="B26" s="29">
        <v>3</v>
      </c>
      <c r="C26" s="24">
        <v>3481</v>
      </c>
      <c r="D26" s="27">
        <v>0.1076087539745588</v>
      </c>
      <c r="E26" s="27">
        <v>0.1218040792875611</v>
      </c>
      <c r="F26" s="28">
        <v>0.7747534537313427</v>
      </c>
      <c r="G26" s="23">
        <v>92698.25</v>
      </c>
    </row>
    <row r="27" spans="2:11" x14ac:dyDescent="0.25">
      <c r="B27" s="6">
        <v>2</v>
      </c>
      <c r="C27" s="24">
        <v>3519</v>
      </c>
      <c r="D27" s="27">
        <v>0.08041795585276183</v>
      </c>
      <c r="E27" s="27">
        <v>0.07558965615231605</v>
      </c>
      <c r="F27" s="28">
        <v>0.4807995554246771</v>
      </c>
      <c r="G27" s="23">
        <v>41559.2</v>
      </c>
    </row>
    <row r="28" spans="2:11" x14ac:dyDescent="0.25">
      <c r="B28" s="29">
        <v>1</v>
      </c>
      <c r="C28" s="24">
        <v>3524</v>
      </c>
      <c r="D28" s="27">
        <v>0.04369462202334901</v>
      </c>
      <c r="E28" s="27">
        <v>0.07094211123723038</v>
      </c>
      <c r="F28" s="28">
        <v>0.451238136009212</v>
      </c>
      <c r="G28" s="23">
        <v>45918.79</v>
      </c>
    </row>
    <row r="30" spans="2:11" x14ac:dyDescent="0.25">
      <c r="B30" s="7" t="s">
        <v>430</v>
      </c>
      <c r="C30" s="7"/>
      <c r="D30" s="7"/>
      <c r="E30" s="7"/>
      <c r="F30" s="7"/>
      <c r="G30" s="7"/>
      <c r="H30" s="7"/>
      <c r="I30" s="7"/>
      <c r="J30" s="7"/>
      <c r="K30" s="7"/>
    </row>
    <row r="31" spans="2:11" x14ac:dyDescent="0.25">
      <c r="B31" s="7"/>
      <c r="C31" s="7"/>
      <c r="D31" s="7"/>
      <c r="E31" s="7"/>
      <c r="F31" s="7"/>
      <c r="G31" s="7"/>
      <c r="H31" s="7"/>
      <c r="I31" s="7"/>
      <c r="J31" s="7"/>
      <c r="K31" s="7"/>
    </row>
    <row r="32" spans="2:11" x14ac:dyDescent="0.25">
      <c r="B32" s="7"/>
      <c r="C32" s="7"/>
      <c r="D32" s="7"/>
      <c r="E32" s="7"/>
      <c r="F32" s="7"/>
      <c r="G32" s="7"/>
      <c r="H32" s="7"/>
      <c r="I32" s="7"/>
      <c r="J32" s="7"/>
      <c r="K32" s="7"/>
    </row>
    <row r="33" spans="1:12" x14ac:dyDescent="0.25">
      <c r="B33" s="7"/>
      <c r="C33" s="7"/>
      <c r="D33" s="7"/>
      <c r="E33" s="7"/>
      <c r="F33" s="7"/>
      <c r="G33" s="7"/>
      <c r="H33" s="7"/>
      <c r="I33" s="7"/>
      <c r="J33" s="7"/>
      <c r="K33" s="7"/>
    </row>
    <row r="34" spans="1:12" x14ac:dyDescent="0.25">
      <c r="B34" s="7"/>
      <c r="C34" s="7"/>
      <c r="D34" s="7"/>
      <c r="E34" s="7"/>
      <c r="F34" s="7"/>
      <c r="G34" s="7"/>
      <c r="H34" s="7"/>
      <c r="I34" s="7"/>
      <c r="J34" s="7"/>
      <c r="K34" s="7"/>
    </row>
    <row r="35" spans="1:12" x14ac:dyDescent="0.25">
      <c r="B35" s="7"/>
      <c r="C35" s="7"/>
      <c r="D35" s="7"/>
      <c r="E35" s="7"/>
      <c r="F35" s="7"/>
      <c r="G35" s="7"/>
      <c r="H35" s="7"/>
      <c r="I35" s="7"/>
      <c r="J35" s="7"/>
      <c r="K35" s="7"/>
    </row>
    <row r="37" spans="1:12" ht="24" customHeight="1" x14ac:dyDescent="0.25">
      <c r="A37" s="3" t="s">
        <v>431</v>
      </c>
      <c r="B37" s="3"/>
      <c r="C37" s="3"/>
      <c r="D37" s="3"/>
      <c r="E37" s="3"/>
      <c r="F37" s="3"/>
      <c r="G37" s="3"/>
      <c r="H37" s="3"/>
      <c r="I37" s="3"/>
      <c r="J37" s="3"/>
      <c r="K37" s="3"/>
      <c r="L37" s="3"/>
    </row>
    <row r="39" spans="1:12" x14ac:dyDescent="0.25">
      <c r="B39" s="22" t="s">
        <v>432</v>
      </c>
      <c r="C39" s="22" t="s">
        <v>433</v>
      </c>
      <c r="D39" s="22" t="s">
        <v>434</v>
      </c>
      <c r="E39" s="22" t="s">
        <v>435</v>
      </c>
      <c r="F39" s="22" t="s">
        <v>436</v>
      </c>
      <c r="G39" s="22" t="s">
        <v>437</v>
      </c>
    </row>
    <row r="40" spans="1:12" x14ac:dyDescent="0.25">
      <c r="B40" s="32">
        <v>46235</v>
      </c>
      <c r="C40" s="23">
        <v>284637.6049123073</v>
      </c>
      <c r="D40" s="23">
        <v>276148.8312056996</v>
      </c>
      <c r="E40" s="23">
        <v>293126.378618915</v>
      </c>
      <c r="F40" s="23">
        <v>271655.3979327886</v>
      </c>
      <c r="G40" s="23">
        <v>297619.8118918259</v>
      </c>
    </row>
    <row r="41" spans="1:12" x14ac:dyDescent="0.25">
      <c r="B41" s="32">
        <v>46236</v>
      </c>
      <c r="C41" s="23">
        <v>285883.0666656234</v>
      </c>
      <c r="D41" s="23">
        <v>277394.2929590157</v>
      </c>
      <c r="E41" s="23">
        <v>294371.8403722311</v>
      </c>
      <c r="F41" s="23">
        <v>272900.8596861048</v>
      </c>
      <c r="G41" s="23">
        <v>298865.273645142</v>
      </c>
    </row>
    <row r="42" spans="1:12" x14ac:dyDescent="0.25">
      <c r="B42" s="32">
        <v>46237</v>
      </c>
      <c r="C42" s="23">
        <v>362101.5706826479</v>
      </c>
      <c r="D42" s="23">
        <v>353612.7969760402</v>
      </c>
      <c r="E42" s="23">
        <v>370590.3443892556</v>
      </c>
      <c r="F42" s="23">
        <v>349119.3637031292</v>
      </c>
      <c r="G42" s="23">
        <v>375083.7776621665</v>
      </c>
    </row>
    <row r="43" spans="1:12" x14ac:dyDescent="0.25">
      <c r="B43" s="32">
        <v>46238</v>
      </c>
      <c r="C43" s="23">
        <v>366621.5184474166</v>
      </c>
      <c r="D43" s="23">
        <v>358132.7447408089</v>
      </c>
      <c r="E43" s="23">
        <v>375110.2921540243</v>
      </c>
      <c r="F43" s="23">
        <v>353639.311467898</v>
      </c>
      <c r="G43" s="23">
        <v>379603.7254269352</v>
      </c>
    </row>
    <row r="44" spans="1:12" x14ac:dyDescent="0.25">
      <c r="B44" s="32">
        <v>46239</v>
      </c>
      <c r="C44" s="23">
        <v>365895.446657666</v>
      </c>
      <c r="D44" s="23">
        <v>357406.6729510583</v>
      </c>
      <c r="E44" s="23">
        <v>374384.2203642737</v>
      </c>
      <c r="F44" s="23">
        <v>352913.2396781474</v>
      </c>
      <c r="G44" s="23">
        <v>378877.6536371846</v>
      </c>
    </row>
    <row r="45" spans="1:12" x14ac:dyDescent="0.25">
      <c r="B45" s="32">
        <v>46240</v>
      </c>
      <c r="C45" s="23">
        <v>366771.7899385985</v>
      </c>
      <c r="D45" s="23">
        <v>358283.0162319908</v>
      </c>
      <c r="E45" s="23">
        <v>375260.5636452062</v>
      </c>
      <c r="F45" s="23">
        <v>353789.5829590799</v>
      </c>
      <c r="G45" s="23">
        <v>379753.9969181172</v>
      </c>
    </row>
    <row r="46" spans="1:12" x14ac:dyDescent="0.25">
      <c r="B46" s="32">
        <v>46241</v>
      </c>
      <c r="C46" s="23">
        <v>367559.822616182</v>
      </c>
      <c r="D46" s="23">
        <v>359071.0489095743</v>
      </c>
      <c r="E46" s="23">
        <v>376048.5963227897</v>
      </c>
      <c r="F46" s="23">
        <v>354577.6156366634</v>
      </c>
      <c r="G46" s="23">
        <v>380542.0295957007</v>
      </c>
    </row>
    <row r="47" spans="1:12" x14ac:dyDescent="0.25">
      <c r="B47" s="32">
        <v>46242</v>
      </c>
      <c r="C47" s="23">
        <v>287328.9636007036</v>
      </c>
      <c r="D47" s="23">
        <v>278840.1898940959</v>
      </c>
      <c r="E47" s="23">
        <v>295817.7373073113</v>
      </c>
      <c r="F47" s="23">
        <v>274346.756621185</v>
      </c>
      <c r="G47" s="23">
        <v>300311.1705802223</v>
      </c>
    </row>
    <row r="48" spans="1:12" x14ac:dyDescent="0.25">
      <c r="B48" s="32">
        <v>46243</v>
      </c>
      <c r="C48" s="23">
        <v>288574.4253540197</v>
      </c>
      <c r="D48" s="23">
        <v>280085.651647412</v>
      </c>
      <c r="E48" s="23">
        <v>297063.1990606274</v>
      </c>
      <c r="F48" s="23">
        <v>275592.2183745011</v>
      </c>
      <c r="G48" s="23">
        <v>301556.6323335384</v>
      </c>
    </row>
    <row r="49" spans="2:7" x14ac:dyDescent="0.25">
      <c r="B49" s="32">
        <v>46244</v>
      </c>
      <c r="C49" s="23">
        <v>364792.9293710442</v>
      </c>
      <c r="D49" s="23">
        <v>356304.1556644365</v>
      </c>
      <c r="E49" s="23">
        <v>373281.7030776519</v>
      </c>
      <c r="F49" s="23">
        <v>351810.7223915256</v>
      </c>
      <c r="G49" s="23">
        <v>377775.1363505629</v>
      </c>
    </row>
    <row r="50" spans="2:7" x14ac:dyDescent="0.25">
      <c r="B50" s="32">
        <v>46245</v>
      </c>
      <c r="C50" s="23">
        <v>369312.8771358129</v>
      </c>
      <c r="D50" s="23">
        <v>360824.1034292052</v>
      </c>
      <c r="E50" s="23">
        <v>377801.6508424206</v>
      </c>
      <c r="F50" s="23">
        <v>356330.6701562943</v>
      </c>
      <c r="G50" s="23">
        <v>382295.0841153316</v>
      </c>
    </row>
    <row r="51" spans="2:7" x14ac:dyDescent="0.25">
      <c r="B51" s="32">
        <v>46246</v>
      </c>
      <c r="C51" s="23">
        <v>368586.8053460623</v>
      </c>
      <c r="D51" s="23">
        <v>360098.0316394547</v>
      </c>
      <c r="E51" s="23">
        <v>377075.57905267</v>
      </c>
      <c r="F51" s="23">
        <v>355604.5983665437</v>
      </c>
      <c r="G51" s="23">
        <v>381569.012325581</v>
      </c>
    </row>
    <row r="52" spans="2:7" x14ac:dyDescent="0.25">
      <c r="B52" s="32">
        <v>46247</v>
      </c>
      <c r="C52" s="23">
        <v>369463.1486269949</v>
      </c>
      <c r="D52" s="23">
        <v>360974.3749203872</v>
      </c>
      <c r="E52" s="23">
        <v>377951.9223336026</v>
      </c>
      <c r="F52" s="23">
        <v>356480.9416474762</v>
      </c>
      <c r="G52" s="23">
        <v>382445.3556065135</v>
      </c>
    </row>
    <row r="53" spans="2:7" x14ac:dyDescent="0.25">
      <c r="B53" s="32">
        <v>46248</v>
      </c>
      <c r="C53" s="23">
        <v>370251.1813045784</v>
      </c>
      <c r="D53" s="23">
        <v>361762.4075979707</v>
      </c>
      <c r="E53" s="23">
        <v>378739.9550111861</v>
      </c>
      <c r="F53" s="23">
        <v>357268.9743250597</v>
      </c>
      <c r="G53" s="23">
        <v>383233.388284097</v>
      </c>
    </row>
    <row r="54" spans="2:7" x14ac:dyDescent="0.25">
      <c r="B54" s="32">
        <v>46249</v>
      </c>
      <c r="C54" s="23">
        <v>290020.3222890999</v>
      </c>
      <c r="D54" s="23">
        <v>281531.5485824922</v>
      </c>
      <c r="E54" s="23">
        <v>298509.0959957076</v>
      </c>
      <c r="F54" s="23">
        <v>277038.1153095813</v>
      </c>
      <c r="G54" s="23">
        <v>303002.5292686186</v>
      </c>
    </row>
    <row r="55" spans="2:7" x14ac:dyDescent="0.25">
      <c r="B55" s="32">
        <v>46250</v>
      </c>
      <c r="C55" s="23">
        <v>291265.7840424161</v>
      </c>
      <c r="D55" s="23">
        <v>282777.0103358084</v>
      </c>
      <c r="E55" s="23">
        <v>299754.5577490238</v>
      </c>
      <c r="F55" s="23">
        <v>278283.5770628974</v>
      </c>
      <c r="G55" s="23">
        <v>304247.9910219347</v>
      </c>
    </row>
    <row r="56" spans="2:7" x14ac:dyDescent="0.25">
      <c r="B56" s="32">
        <v>46251</v>
      </c>
      <c r="C56" s="23">
        <v>367484.2880594406</v>
      </c>
      <c r="D56" s="23">
        <v>358995.5143528329</v>
      </c>
      <c r="E56" s="23">
        <v>375973.0617660483</v>
      </c>
      <c r="F56" s="23">
        <v>354502.0810799219</v>
      </c>
      <c r="G56" s="23">
        <v>380466.4950389592</v>
      </c>
    </row>
    <row r="57" spans="2:7" x14ac:dyDescent="0.25">
      <c r="B57" s="32">
        <v>46252</v>
      </c>
      <c r="C57" s="23">
        <v>372004.2358242092</v>
      </c>
      <c r="D57" s="23">
        <v>363515.4621176015</v>
      </c>
      <c r="E57" s="23">
        <v>380493.0095308169</v>
      </c>
      <c r="F57" s="23">
        <v>359022.0288446906</v>
      </c>
      <c r="G57" s="23">
        <v>384986.4428037279</v>
      </c>
    </row>
    <row r="58" spans="2:7" x14ac:dyDescent="0.25">
      <c r="B58" s="32">
        <v>46253</v>
      </c>
      <c r="C58" s="23">
        <v>371278.1640344587</v>
      </c>
      <c r="D58" s="23">
        <v>362789.390327851</v>
      </c>
      <c r="E58" s="23">
        <v>379766.9377410664</v>
      </c>
      <c r="F58" s="23">
        <v>358295.9570549401</v>
      </c>
      <c r="G58" s="23">
        <v>384260.3710139773</v>
      </c>
    </row>
    <row r="59" spans="2:7" x14ac:dyDescent="0.25">
      <c r="B59" s="32">
        <v>46254</v>
      </c>
      <c r="C59" s="23">
        <v>372154.5073153912</v>
      </c>
      <c r="D59" s="23">
        <v>363665.7336087835</v>
      </c>
      <c r="E59" s="23">
        <v>380643.2810219989</v>
      </c>
      <c r="F59" s="23">
        <v>359172.3003358726</v>
      </c>
      <c r="G59" s="23">
        <v>385136.7142949098</v>
      </c>
    </row>
    <row r="60" spans="2:7" x14ac:dyDescent="0.25">
      <c r="B60" s="32">
        <v>46255</v>
      </c>
      <c r="C60" s="23">
        <v>372942.5399929747</v>
      </c>
      <c r="D60" s="23">
        <v>364453.766286367</v>
      </c>
      <c r="E60" s="23">
        <v>381431.3136995824</v>
      </c>
      <c r="F60" s="23">
        <v>359960.3330134561</v>
      </c>
      <c r="G60" s="23">
        <v>385924.7469724934</v>
      </c>
    </row>
    <row r="61" spans="2:7" x14ac:dyDescent="0.25">
      <c r="B61" s="32">
        <v>46256</v>
      </c>
      <c r="C61" s="23">
        <v>292711.6809774963</v>
      </c>
      <c r="D61" s="23">
        <v>284222.9072708886</v>
      </c>
      <c r="E61" s="23">
        <v>301200.454684104</v>
      </c>
      <c r="F61" s="23">
        <v>279729.4739979776</v>
      </c>
      <c r="G61" s="23">
        <v>305693.8879570149</v>
      </c>
    </row>
    <row r="62" spans="2:7" x14ac:dyDescent="0.25">
      <c r="B62" s="32">
        <v>46257</v>
      </c>
      <c r="C62" s="23">
        <v>293957.1427308124</v>
      </c>
      <c r="D62" s="23">
        <v>285468.3690242047</v>
      </c>
      <c r="E62" s="23">
        <v>302445.9164374201</v>
      </c>
      <c r="F62" s="23">
        <v>280974.9357512938</v>
      </c>
      <c r="G62" s="23">
        <v>306939.3497103311</v>
      </c>
    </row>
    <row r="63" spans="2:7" x14ac:dyDescent="0.25">
      <c r="B63" s="32">
        <v>46258</v>
      </c>
      <c r="C63" s="23">
        <v>370175.6467478369</v>
      </c>
      <c r="D63" s="23">
        <v>361686.8730412292</v>
      </c>
      <c r="E63" s="23">
        <v>378664.4204544446</v>
      </c>
      <c r="F63" s="23">
        <v>357193.4397683183</v>
      </c>
      <c r="G63" s="23">
        <v>383157.8537273555</v>
      </c>
    </row>
    <row r="64" spans="2:7" x14ac:dyDescent="0.25">
      <c r="B64" s="32">
        <v>46259</v>
      </c>
      <c r="C64" s="23">
        <v>374695.5945126056</v>
      </c>
      <c r="D64" s="23">
        <v>366206.8208059979</v>
      </c>
      <c r="E64" s="23">
        <v>383184.3682192133</v>
      </c>
      <c r="F64" s="23">
        <v>361713.3875330869</v>
      </c>
      <c r="G64" s="23">
        <v>387677.8014921242</v>
      </c>
    </row>
    <row r="65" spans="2:7" x14ac:dyDescent="0.25">
      <c r="B65" s="32">
        <v>46260</v>
      </c>
      <c r="C65" s="23">
        <v>373969.522722855</v>
      </c>
      <c r="D65" s="23">
        <v>365480.7490162473</v>
      </c>
      <c r="E65" s="23">
        <v>382458.2964294627</v>
      </c>
      <c r="F65" s="23">
        <v>360987.3157433364</v>
      </c>
      <c r="G65" s="23">
        <v>386951.7297023737</v>
      </c>
    </row>
    <row r="66" spans="2:7" x14ac:dyDescent="0.25">
      <c r="B66" s="32">
        <v>46261</v>
      </c>
      <c r="C66" s="23">
        <v>374845.8660037876</v>
      </c>
      <c r="D66" s="23">
        <v>366357.0922971799</v>
      </c>
      <c r="E66" s="23">
        <v>383334.6397103952</v>
      </c>
      <c r="F66" s="23">
        <v>361863.6590242689</v>
      </c>
      <c r="G66" s="23">
        <v>387828.0729833062</v>
      </c>
    </row>
    <row r="67" spans="2:7" x14ac:dyDescent="0.25">
      <c r="B67" s="32">
        <v>46262</v>
      </c>
      <c r="C67" s="23">
        <v>375633.898681371</v>
      </c>
      <c r="D67" s="23">
        <v>367145.1249747633</v>
      </c>
      <c r="E67" s="23">
        <v>384122.6723879787</v>
      </c>
      <c r="F67" s="23">
        <v>362651.6917018524</v>
      </c>
      <c r="G67" s="23">
        <v>388616.1056608896</v>
      </c>
    </row>
    <row r="68" spans="2:7" x14ac:dyDescent="0.25">
      <c r="B68" s="32">
        <v>46263</v>
      </c>
      <c r="C68" s="23">
        <v>295403.0396658926</v>
      </c>
      <c r="D68" s="23">
        <v>286914.2659592849</v>
      </c>
      <c r="E68" s="23">
        <v>303891.8133725003</v>
      </c>
      <c r="F68" s="23">
        <v>282420.832686374</v>
      </c>
      <c r="G68" s="23">
        <v>308385.2466454112</v>
      </c>
    </row>
    <row r="69" spans="2:7" x14ac:dyDescent="0.25">
      <c r="B69" s="32">
        <v>46264</v>
      </c>
      <c r="C69" s="23">
        <v>296648.5014192088</v>
      </c>
      <c r="D69" s="23">
        <v>288159.7277126011</v>
      </c>
      <c r="E69" s="23">
        <v>305137.2751258165</v>
      </c>
      <c r="F69" s="23">
        <v>283666.2944396901</v>
      </c>
      <c r="G69" s="23">
        <v>309630.7083987274</v>
      </c>
    </row>
    <row r="89" spans="1:12" x14ac:dyDescent="0.25">
      <c r="B89" s="7" t="s">
        <v>438</v>
      </c>
      <c r="C89" s="7"/>
      <c r="D89" s="7"/>
      <c r="E89" s="7"/>
      <c r="F89" s="7"/>
      <c r="G89" s="7"/>
      <c r="H89" s="7"/>
      <c r="I89" s="7"/>
      <c r="J89" s="7"/>
      <c r="K89" s="7"/>
    </row>
    <row r="90" spans="1:12" x14ac:dyDescent="0.25">
      <c r="B90" s="7"/>
      <c r="C90" s="7"/>
      <c r="D90" s="7"/>
      <c r="E90" s="7"/>
      <c r="F90" s="7"/>
      <c r="G90" s="7"/>
      <c r="H90" s="7"/>
      <c r="I90" s="7"/>
      <c r="J90" s="7"/>
      <c r="K90" s="7"/>
    </row>
    <row r="91" spans="1:12" x14ac:dyDescent="0.25">
      <c r="B91" s="7"/>
      <c r="C91" s="7"/>
      <c r="D91" s="7"/>
      <c r="E91" s="7"/>
      <c r="F91" s="7"/>
      <c r="G91" s="7"/>
      <c r="H91" s="7"/>
      <c r="I91" s="7"/>
      <c r="J91" s="7"/>
      <c r="K91" s="7"/>
    </row>
    <row r="93" spans="1:12" ht="24" customHeight="1" x14ac:dyDescent="0.25">
      <c r="A93" s="3" t="s">
        <v>439</v>
      </c>
      <c r="B93" s="3"/>
      <c r="C93" s="3"/>
      <c r="D93" s="3"/>
      <c r="E93" s="3"/>
      <c r="F93" s="3"/>
      <c r="G93" s="3"/>
      <c r="H93" s="3"/>
      <c r="I93" s="3"/>
      <c r="J93" s="3"/>
      <c r="K93" s="3"/>
      <c r="L93" s="3"/>
    </row>
    <row r="95" spans="1:12" x14ac:dyDescent="0.25">
      <c r="B95" s="22" t="s">
        <v>440</v>
      </c>
      <c r="C95" s="22" t="s">
        <v>346</v>
      </c>
      <c r="D95" s="22" t="s">
        <v>91</v>
      </c>
      <c r="E95" s="22" t="s">
        <v>441</v>
      </c>
      <c r="F95" s="22" t="s">
        <v>69</v>
      </c>
      <c r="G95" s="22" t="s">
        <v>442</v>
      </c>
      <c r="H95" s="22" t="s">
        <v>443</v>
      </c>
      <c r="I95" s="22" t="s">
        <v>348</v>
      </c>
      <c r="J95" s="22" t="s">
        <v>444</v>
      </c>
      <c r="K95" s="22" t="s">
        <v>351</v>
      </c>
    </row>
    <row r="96" spans="1:12" x14ac:dyDescent="0.25">
      <c r="B96" s="6" t="s">
        <v>445</v>
      </c>
      <c r="C96" s="24" t="s">
        <v>234</v>
      </c>
      <c r="D96" s="23">
        <v>58197448.85000001</v>
      </c>
      <c r="E96" s="23">
        <v>2909872.4425</v>
      </c>
      <c r="F96" s="26">
        <v>128.6068692763389</v>
      </c>
      <c r="G96" s="27">
        <v>0.8399854630651855</v>
      </c>
      <c r="H96" s="28">
        <v>2.837945954317317</v>
      </c>
      <c r="I96" s="25">
        <v>0.183546930946218</v>
      </c>
      <c r="J96" s="25">
        <v>0.05212217297878361</v>
      </c>
      <c r="K96" s="28">
        <v>50.215</v>
      </c>
    </row>
    <row r="97" spans="2:11" x14ac:dyDescent="0.25">
      <c r="B97" s="29" t="s">
        <v>446</v>
      </c>
      <c r="C97" s="24" t="s">
        <v>161</v>
      </c>
      <c r="D97" s="23">
        <v>2104178.78</v>
      </c>
      <c r="E97" s="23">
        <v>701392.9266666668</v>
      </c>
      <c r="F97" s="26">
        <v>139.0193408819214</v>
      </c>
      <c r="G97" s="27">
        <v>0.8612782390532817</v>
      </c>
      <c r="H97" s="28">
        <v>10.99813010285347</v>
      </c>
      <c r="I97" s="25">
        <v>0.1728662834948918</v>
      </c>
      <c r="J97" s="25">
        <v>0.01463555840047344</v>
      </c>
      <c r="K97" s="28">
        <v>50.5</v>
      </c>
    </row>
    <row r="98" spans="2:11" x14ac:dyDescent="0.25">
      <c r="B98" s="6" t="s">
        <v>447</v>
      </c>
      <c r="C98" s="24" t="s">
        <v>149</v>
      </c>
      <c r="D98" s="23">
        <v>4535329.729999999</v>
      </c>
      <c r="E98" s="23">
        <v>4535329.729999999</v>
      </c>
      <c r="F98" s="26">
        <v>127.907093744712</v>
      </c>
      <c r="G98" s="27">
        <v>0.8450331125827815</v>
      </c>
      <c r="H98" s="28">
        <v>1.77674995769643</v>
      </c>
      <c r="I98" s="25">
        <v>0.7756933487434969</v>
      </c>
      <c r="J98" s="25">
        <v>0.1923182045670371</v>
      </c>
      <c r="K98" s="28">
        <v>75.59999999999999</v>
      </c>
    </row>
    <row r="99" spans="2:11" x14ac:dyDescent="0.25">
      <c r="B99" s="29" t="s">
        <v>448</v>
      </c>
      <c r="C99" s="24" t="s">
        <v>149</v>
      </c>
      <c r="D99" s="23">
        <v>684341.39</v>
      </c>
      <c r="E99" s="23">
        <v>684341.39</v>
      </c>
      <c r="F99" s="26">
        <v>138.1391582559548</v>
      </c>
      <c r="G99" s="27">
        <v>0.8431740081224617</v>
      </c>
      <c r="H99" s="28">
        <v>13.92813887767461</v>
      </c>
      <c r="I99" s="25">
        <v>0.03142880784186808</v>
      </c>
      <c r="J99" s="25">
        <v>-0.4251582260824904</v>
      </c>
      <c r="K99" s="28">
        <v>17.3</v>
      </c>
    </row>
    <row r="101" spans="2:11" x14ac:dyDescent="0.25">
      <c r="B101" s="7" t="s">
        <v>449</v>
      </c>
      <c r="C101" s="7"/>
      <c r="D101" s="7"/>
      <c r="E101" s="7"/>
      <c r="F101" s="7"/>
      <c r="G101" s="7"/>
      <c r="H101" s="7"/>
      <c r="I101" s="7"/>
      <c r="J101" s="7"/>
      <c r="K101" s="7"/>
    </row>
    <row r="102" spans="2:11" x14ac:dyDescent="0.25">
      <c r="B102" s="7"/>
      <c r="C102" s="7"/>
      <c r="D102" s="7"/>
      <c r="E102" s="7"/>
      <c r="F102" s="7"/>
      <c r="G102" s="7"/>
      <c r="H102" s="7"/>
      <c r="I102" s="7"/>
      <c r="J102" s="7"/>
      <c r="K102" s="7"/>
    </row>
    <row r="103" spans="2:11" x14ac:dyDescent="0.25">
      <c r="B103" s="7"/>
      <c r="C103" s="7"/>
      <c r="D103" s="7"/>
      <c r="E103" s="7"/>
      <c r="F103" s="7"/>
      <c r="G103" s="7"/>
      <c r="H103" s="7"/>
      <c r="I103" s="7"/>
      <c r="J103" s="7"/>
      <c r="K103" s="7"/>
    </row>
    <row r="104" spans="2:11" x14ac:dyDescent="0.25">
      <c r="B104" s="7"/>
      <c r="C104" s="7"/>
      <c r="D104" s="7"/>
      <c r="E104" s="7"/>
      <c r="F104" s="7"/>
      <c r="G104" s="7"/>
      <c r="H104" s="7"/>
      <c r="I104" s="7"/>
      <c r="J104" s="7"/>
      <c r="K104" s="7"/>
    </row>
    <row r="105" spans="2:11" x14ac:dyDescent="0.25">
      <c r="B105" s="7"/>
      <c r="C105" s="7"/>
      <c r="D105" s="7"/>
      <c r="E105" s="7"/>
      <c r="F105" s="7"/>
      <c r="G105" s="7"/>
      <c r="H105" s="7"/>
      <c r="I105" s="7"/>
      <c r="J105" s="7"/>
      <c r="K105" s="7"/>
    </row>
  </sheetData>
  <mergeCells count="7">
    <mergeCell ref="A6:L6"/>
    <mergeCell ref="A16:L16"/>
    <mergeCell ref="B30:K35"/>
    <mergeCell ref="A37:L37"/>
    <mergeCell ref="B89:K91"/>
    <mergeCell ref="A93:L93"/>
    <mergeCell ref="B101:K105"/>
  </mergeCells>
  <conditionalFormatting sqref="E19:E28">
    <cfRule type="dataBar" priority="1">
      <dataBar>
        <cfvo type="min"/>
        <cfvo type="max"/>
        <color rgb="FFC0392B"/>
      </dataBar>
      <extLst>
        <ext xmlns:x14="http://schemas.microsoft.com/office/spreadsheetml/2009/9/main" uri="{B025F937-C7B1-47D3-B67F-A62EFF666E3E}">
          <x14:id>{DA7ABA51-AAAA-BBBB-0007-000000000001}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autoMin"/>
              <x14:cfvo type="autoMax"/>
              <x14:borderColor rgb="FFC0392B"/>
              <x14:negativeFillColor rgb="FFFF0000"/>
              <x14:negativeBorderColor rgb="FFFF0000"/>
              <x14:axisColor rgb="FF000000"/>
            </x14:dataBar>
          </x14:cfRule>
          <xm:sqref>E19:E28</xm:sqref>
        </x14:conditionalFormatting>
      </x14:conditionalFormattings>
    </ext>
  </extLst>
</worksheet>
</file>

<file path=xl/worksheets/sheet8.xml><?xml version="1.0" encoding="utf-8"?>
<worksheet xmlns="http://schemas.openxmlformats.org/spreadsheetml/2006/main" xmlns:r="http://schemas.openxmlformats.org/officeDocument/2006/relationships">
  <dimension ref="B2:D20"/>
  <sheetViews>
    <sheetView showGridLines="0" workbookViewId="0"/>
  </sheetViews>
  <sheetFormatPr defaultRowHeight="15"/>
  <cols>
    <col min="1" max="1" width="2.7109375" customWidth="1"/>
    <col min="2" max="2" width="5.7109375" customWidth="1"/>
    <col min="3" max="3" width="42.7109375" customWidth="1"/>
    <col min="4" max="4" width="88.7109375" customWidth="1"/>
  </cols>
  <sheetData>
    <row r="2" spans="2:4">
      <c r="B2" s="1" t="s">
        <v>450</v>
      </c>
    </row>
    <row r="3" spans="2:4">
      <c r="B3" s="2" t="s">
        <v>451</v>
      </c>
    </row>
    <row r="7" spans="2:4" ht="34" customHeight="1">
      <c r="B7" s="33" t="s">
        <v>452</v>
      </c>
      <c r="C7" s="34" t="s">
        <v>453</v>
      </c>
      <c r="D7" s="35"/>
    </row>
    <row r="8" spans="2:4" ht="72" customHeight="1">
      <c r="B8" s="6"/>
      <c r="C8" s="36" t="s">
        <v>454</v>
      </c>
      <c r="D8" s="5" t="s">
        <v>455</v>
      </c>
    </row>
    <row r="10" spans="2:4" ht="34" customHeight="1">
      <c r="B10" s="33" t="s">
        <v>353</v>
      </c>
      <c r="C10" s="34" t="s">
        <v>456</v>
      </c>
      <c r="D10" s="35"/>
    </row>
    <row r="11" spans="2:4" ht="72" customHeight="1">
      <c r="B11" s="6"/>
      <c r="C11" s="36" t="s">
        <v>454</v>
      </c>
      <c r="D11" s="5" t="s">
        <v>457</v>
      </c>
    </row>
    <row r="13" spans="2:4" ht="34" customHeight="1">
      <c r="B13" s="33" t="s">
        <v>354</v>
      </c>
      <c r="C13" s="34" t="s">
        <v>458</v>
      </c>
      <c r="D13" s="35"/>
    </row>
    <row r="14" spans="2:4" ht="124" customHeight="1">
      <c r="B14" s="6"/>
      <c r="C14" s="36" t="s">
        <v>454</v>
      </c>
      <c r="D14" s="5" t="s">
        <v>459</v>
      </c>
    </row>
    <row r="16" spans="2:4" ht="34" customHeight="1">
      <c r="B16" s="33" t="s">
        <v>460</v>
      </c>
      <c r="C16" s="34" t="s">
        <v>461</v>
      </c>
      <c r="D16" s="35"/>
    </row>
    <row r="17" spans="2:4" ht="98" customHeight="1">
      <c r="B17" s="6"/>
      <c r="C17" s="36" t="s">
        <v>454</v>
      </c>
      <c r="D17" s="5" t="s">
        <v>462</v>
      </c>
    </row>
    <row r="19" spans="2:4" ht="34" customHeight="1">
      <c r="B19" s="33" t="s">
        <v>463</v>
      </c>
      <c r="C19" s="34" t="s">
        <v>464</v>
      </c>
      <c r="D19" s="35"/>
    </row>
    <row r="20" spans="2:4" ht="124" customHeight="1">
      <c r="B20" s="6"/>
      <c r="C20" s="36" t="s">
        <v>454</v>
      </c>
      <c r="D20" s="5" t="s">
        <v>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2:F76"/>
  <sheetViews>
    <sheetView showGridLines="0" workbookViewId="0"/>
  </sheetViews>
  <sheetFormatPr defaultRowHeight="15"/>
  <cols>
    <col min="1" max="1" width="2.7109375" customWidth="1"/>
    <col min="2" max="2" width="26.7109375" customWidth="1"/>
    <col min="3" max="3" width="28.7109375" customWidth="1"/>
    <col min="4" max="4" width="16.7109375" customWidth="1"/>
    <col min="5" max="5" width="20.7109375" customWidth="1"/>
    <col min="6" max="6" width="92.7109375" customWidth="1"/>
  </cols>
  <sheetData>
    <row r="2" spans="1:6">
      <c r="B2" s="1" t="s">
        <v>466</v>
      </c>
    </row>
    <row r="3" spans="1:6">
      <c r="B3" s="2" t="s">
        <v>467</v>
      </c>
    </row>
    <row r="6" spans="1:6" ht="24" customHeight="1">
      <c r="A6" s="3" t="s">
        <v>468</v>
      </c>
      <c r="B6" s="3"/>
      <c r="C6" s="3"/>
      <c r="D6" s="3"/>
      <c r="E6" s="3"/>
      <c r="F6" s="3"/>
    </row>
    <row r="8" spans="1:6">
      <c r="B8" s="7" t="s">
        <v>469</v>
      </c>
      <c r="C8" s="7"/>
      <c r="D8" s="7"/>
      <c r="E8" s="7"/>
      <c r="F8" s="7"/>
    </row>
    <row r="9" spans="1:6">
      <c r="B9" s="7"/>
      <c r="C9" s="7"/>
      <c r="D9" s="7"/>
      <c r="E9" s="7"/>
      <c r="F9" s="7"/>
    </row>
    <row r="10" spans="1:6">
      <c r="B10" s="7"/>
      <c r="C10" s="7"/>
      <c r="D10" s="7"/>
      <c r="E10" s="7"/>
      <c r="F10" s="7"/>
    </row>
    <row r="12" spans="1:6">
      <c r="B12" s="22" t="s">
        <v>470</v>
      </c>
      <c r="C12" s="22" t="s">
        <v>471</v>
      </c>
      <c r="D12" s="22" t="s">
        <v>472</v>
      </c>
      <c r="E12" s="22" t="s">
        <v>473</v>
      </c>
    </row>
    <row r="13" spans="1:6">
      <c r="B13" s="6" t="s">
        <v>474</v>
      </c>
      <c r="C13" s="6" t="s">
        <v>475</v>
      </c>
      <c r="D13" s="24" t="s">
        <v>168</v>
      </c>
      <c r="E13" s="6" t="s">
        <v>476</v>
      </c>
    </row>
    <row r="14" spans="1:6">
      <c r="B14" s="29" t="s">
        <v>477</v>
      </c>
      <c r="C14" s="29" t="s">
        <v>478</v>
      </c>
      <c r="D14" s="24" t="s">
        <v>149</v>
      </c>
      <c r="E14" s="29" t="s">
        <v>479</v>
      </c>
    </row>
    <row r="15" spans="1:6">
      <c r="B15" s="6" t="s">
        <v>480</v>
      </c>
      <c r="C15" s="6" t="s">
        <v>481</v>
      </c>
      <c r="D15" s="24" t="s">
        <v>168</v>
      </c>
      <c r="E15" s="6" t="s">
        <v>482</v>
      </c>
    </row>
    <row r="16" spans="1:6">
      <c r="B16" s="29" t="s">
        <v>483</v>
      </c>
      <c r="C16" s="29" t="s">
        <v>484</v>
      </c>
      <c r="D16" s="24" t="s">
        <v>149</v>
      </c>
      <c r="E16" s="29" t="s">
        <v>485</v>
      </c>
    </row>
    <row r="17" spans="2:5">
      <c r="B17" s="6" t="s">
        <v>486</v>
      </c>
      <c r="C17" s="6" t="s">
        <v>487</v>
      </c>
      <c r="D17" s="24" t="s">
        <v>168</v>
      </c>
      <c r="E17" s="6" t="s">
        <v>488</v>
      </c>
    </row>
    <row r="20" spans="2:5">
      <c r="B20" s="22" t="s">
        <v>489</v>
      </c>
      <c r="C20" s="22" t="s">
        <v>470</v>
      </c>
      <c r="D20" s="22" t="s">
        <v>490</v>
      </c>
      <c r="E20" s="22" t="s">
        <v>491</v>
      </c>
    </row>
    <row r="21" spans="2:5">
      <c r="B21" s="6" t="s">
        <v>492</v>
      </c>
      <c r="C21" s="6" t="s">
        <v>474</v>
      </c>
      <c r="D21" s="24" t="s">
        <v>493</v>
      </c>
      <c r="E21" s="5" t="s">
        <v>494</v>
      </c>
    </row>
    <row r="22" spans="2:5">
      <c r="B22" s="29" t="s">
        <v>495</v>
      </c>
      <c r="C22" s="29" t="s">
        <v>474</v>
      </c>
      <c r="D22" s="24" t="s">
        <v>496</v>
      </c>
      <c r="E22" s="5" t="s">
        <v>497</v>
      </c>
    </row>
    <row r="23" spans="2:5">
      <c r="B23" s="6" t="s">
        <v>498</v>
      </c>
      <c r="C23" s="6" t="s">
        <v>474</v>
      </c>
      <c r="D23" s="24" t="s">
        <v>499</v>
      </c>
      <c r="E23" s="5" t="s">
        <v>500</v>
      </c>
    </row>
    <row r="24" spans="2:5">
      <c r="B24" s="29" t="s">
        <v>501</v>
      </c>
      <c r="C24" s="29" t="s">
        <v>474</v>
      </c>
      <c r="D24" s="24" t="s">
        <v>502</v>
      </c>
      <c r="E24" s="5" t="s">
        <v>503</v>
      </c>
    </row>
    <row r="25" spans="2:5">
      <c r="B25" s="6" t="s">
        <v>479</v>
      </c>
      <c r="C25" s="6" t="s">
        <v>477</v>
      </c>
      <c r="D25" s="24" t="s">
        <v>504</v>
      </c>
      <c r="E25" s="5" t="s">
        <v>505</v>
      </c>
    </row>
    <row r="26" spans="2:5">
      <c r="B26" s="29" t="s">
        <v>506</v>
      </c>
      <c r="C26" s="29" t="s">
        <v>480</v>
      </c>
      <c r="D26" s="24" t="s">
        <v>168</v>
      </c>
      <c r="E26" s="5" t="s">
        <v>507</v>
      </c>
    </row>
    <row r="27" spans="2:5">
      <c r="B27" s="6" t="s">
        <v>508</v>
      </c>
      <c r="C27" s="6" t="s">
        <v>480</v>
      </c>
      <c r="D27" s="24" t="s">
        <v>168</v>
      </c>
      <c r="E27" s="5" t="s">
        <v>509</v>
      </c>
    </row>
    <row r="28" spans="2:5">
      <c r="B28" s="29" t="s">
        <v>510</v>
      </c>
      <c r="C28" s="29" t="s">
        <v>480</v>
      </c>
      <c r="D28" s="24" t="s">
        <v>177</v>
      </c>
      <c r="E28" s="5" t="s">
        <v>511</v>
      </c>
    </row>
    <row r="29" spans="2:5">
      <c r="B29" s="6" t="s">
        <v>512</v>
      </c>
      <c r="C29" s="6" t="s">
        <v>480</v>
      </c>
      <c r="D29" s="24" t="s">
        <v>172</v>
      </c>
      <c r="E29" s="5" t="s">
        <v>513</v>
      </c>
    </row>
    <row r="30" spans="2:5">
      <c r="B30" s="29" t="s">
        <v>485</v>
      </c>
      <c r="C30" s="29" t="s">
        <v>483</v>
      </c>
      <c r="D30" s="24" t="s">
        <v>514</v>
      </c>
      <c r="E30" s="5" t="s">
        <v>515</v>
      </c>
    </row>
    <row r="31" spans="2:5">
      <c r="B31" s="6" t="s">
        <v>516</v>
      </c>
      <c r="C31" s="6" t="s">
        <v>486</v>
      </c>
      <c r="D31" s="24" t="s">
        <v>250</v>
      </c>
      <c r="E31" s="5" t="s">
        <v>517</v>
      </c>
    </row>
    <row r="32" spans="2:5">
      <c r="B32" s="29" t="s">
        <v>518</v>
      </c>
      <c r="C32" s="29" t="s">
        <v>486</v>
      </c>
      <c r="D32" s="24" t="s">
        <v>519</v>
      </c>
      <c r="E32" s="5" t="s">
        <v>520</v>
      </c>
    </row>
    <row r="33" spans="1:6">
      <c r="B33" s="6" t="s">
        <v>521</v>
      </c>
      <c r="C33" s="6" t="s">
        <v>486</v>
      </c>
      <c r="D33" s="24" t="s">
        <v>250</v>
      </c>
      <c r="E33" s="5" t="s">
        <v>522</v>
      </c>
    </row>
    <row r="34" spans="1:6">
      <c r="B34" s="29" t="s">
        <v>523</v>
      </c>
      <c r="C34" s="29" t="s">
        <v>486</v>
      </c>
      <c r="D34" s="24" t="s">
        <v>250</v>
      </c>
      <c r="E34" s="5" t="s">
        <v>524</v>
      </c>
    </row>
    <row r="36" spans="1:6">
      <c r="B36" s="7" t="s">
        <v>525</v>
      </c>
      <c r="C36" s="7"/>
      <c r="D36" s="7"/>
      <c r="E36" s="7"/>
      <c r="F36" s="7"/>
    </row>
    <row r="37" spans="1:6">
      <c r="B37" s="7"/>
      <c r="C37" s="7"/>
      <c r="D37" s="7"/>
      <c r="E37" s="7"/>
      <c r="F37" s="7"/>
    </row>
    <row r="38" spans="1:6">
      <c r="B38" s="7"/>
      <c r="C38" s="7"/>
      <c r="D38" s="7"/>
      <c r="E38" s="7"/>
      <c r="F38" s="7"/>
    </row>
    <row r="40" spans="1:6" ht="24" customHeight="1">
      <c r="A40" s="3" t="s">
        <v>526</v>
      </c>
      <c r="B40" s="3"/>
      <c r="C40" s="3"/>
      <c r="D40" s="3"/>
      <c r="E40" s="3"/>
      <c r="F40" s="3"/>
    </row>
    <row r="42" spans="1:6">
      <c r="B42" s="22" t="s">
        <v>489</v>
      </c>
      <c r="C42" s="22" t="s">
        <v>527</v>
      </c>
      <c r="D42" s="22" t="s">
        <v>528</v>
      </c>
      <c r="E42" s="22" t="s">
        <v>529</v>
      </c>
      <c r="F42" s="22" t="s">
        <v>530</v>
      </c>
    </row>
    <row r="43" spans="1:6">
      <c r="B43" s="6" t="s">
        <v>479</v>
      </c>
      <c r="C43" s="6" t="s">
        <v>531</v>
      </c>
      <c r="D43" s="6" t="s">
        <v>532</v>
      </c>
      <c r="E43" s="6" t="s">
        <v>533</v>
      </c>
      <c r="F43" s="6" t="s">
        <v>534</v>
      </c>
    </row>
    <row r="44" spans="1:6">
      <c r="B44" s="29" t="s">
        <v>479</v>
      </c>
      <c r="C44" s="29" t="s">
        <v>535</v>
      </c>
      <c r="D44" s="29" t="s">
        <v>536</v>
      </c>
      <c r="E44" s="29" t="s">
        <v>537</v>
      </c>
      <c r="F44" s="29" t="s">
        <v>538</v>
      </c>
    </row>
    <row r="45" spans="1:6">
      <c r="B45" s="6" t="s">
        <v>479</v>
      </c>
      <c r="C45" s="6" t="s">
        <v>539</v>
      </c>
      <c r="D45" s="6" t="s">
        <v>540</v>
      </c>
      <c r="E45" s="6" t="s">
        <v>537</v>
      </c>
      <c r="F45" s="6" t="s">
        <v>541</v>
      </c>
    </row>
    <row r="46" spans="1:6">
      <c r="B46" s="29" t="s">
        <v>479</v>
      </c>
      <c r="C46" s="29" t="s">
        <v>542</v>
      </c>
      <c r="D46" s="29" t="s">
        <v>543</v>
      </c>
      <c r="E46" s="29" t="s">
        <v>544</v>
      </c>
      <c r="F46" s="29" t="s">
        <v>545</v>
      </c>
    </row>
    <row r="47" spans="1:6">
      <c r="B47" s="6" t="s">
        <v>492</v>
      </c>
      <c r="C47" s="6" t="s">
        <v>546</v>
      </c>
      <c r="D47" s="6" t="s">
        <v>547</v>
      </c>
      <c r="E47" s="6" t="s">
        <v>533</v>
      </c>
      <c r="F47" s="6" t="s">
        <v>548</v>
      </c>
    </row>
    <row r="48" spans="1:6">
      <c r="B48" s="29" t="s">
        <v>492</v>
      </c>
      <c r="C48" s="29" t="s">
        <v>549</v>
      </c>
      <c r="D48" s="29" t="s">
        <v>550</v>
      </c>
      <c r="E48" s="29" t="s">
        <v>551</v>
      </c>
      <c r="F48" s="29" t="s">
        <v>552</v>
      </c>
    </row>
    <row r="49" spans="2:6">
      <c r="B49" s="6" t="s">
        <v>492</v>
      </c>
      <c r="C49" s="6" t="s">
        <v>553</v>
      </c>
      <c r="D49" s="6" t="s">
        <v>554</v>
      </c>
      <c r="E49" s="6" t="s">
        <v>537</v>
      </c>
      <c r="F49" s="6" t="s">
        <v>555</v>
      </c>
    </row>
    <row r="50" spans="2:6">
      <c r="B50" s="29" t="s">
        <v>492</v>
      </c>
      <c r="C50" s="29" t="s">
        <v>556</v>
      </c>
      <c r="D50" s="29" t="s">
        <v>554</v>
      </c>
      <c r="E50" s="29" t="s">
        <v>537</v>
      </c>
      <c r="F50" s="29" t="s">
        <v>557</v>
      </c>
    </row>
    <row r="51" spans="2:6">
      <c r="B51" s="6" t="s">
        <v>492</v>
      </c>
      <c r="C51" s="6" t="s">
        <v>558</v>
      </c>
      <c r="D51" s="6" t="s">
        <v>559</v>
      </c>
      <c r="E51" s="6" t="s">
        <v>537</v>
      </c>
      <c r="F51" s="6" t="s">
        <v>560</v>
      </c>
    </row>
    <row r="52" spans="2:6">
      <c r="B52" s="29" t="s">
        <v>492</v>
      </c>
      <c r="C52" s="29" t="s">
        <v>561</v>
      </c>
      <c r="D52" s="29" t="s">
        <v>559</v>
      </c>
      <c r="E52" s="29" t="s">
        <v>562</v>
      </c>
      <c r="F52" s="29" t="s">
        <v>563</v>
      </c>
    </row>
    <row r="53" spans="2:6">
      <c r="B53" s="6" t="s">
        <v>492</v>
      </c>
      <c r="C53" s="6" t="s">
        <v>564</v>
      </c>
      <c r="D53" s="6" t="s">
        <v>565</v>
      </c>
      <c r="E53" s="6" t="s">
        <v>537</v>
      </c>
      <c r="F53" s="6" t="s">
        <v>566</v>
      </c>
    </row>
    <row r="54" spans="2:6">
      <c r="B54" s="29" t="s">
        <v>512</v>
      </c>
      <c r="C54" s="29" t="s">
        <v>567</v>
      </c>
      <c r="D54" s="29" t="s">
        <v>554</v>
      </c>
      <c r="E54" s="29" t="s">
        <v>551</v>
      </c>
      <c r="F54" s="29" t="s">
        <v>568</v>
      </c>
    </row>
    <row r="55" spans="2:6">
      <c r="B55" s="6" t="s">
        <v>512</v>
      </c>
      <c r="C55" s="6" t="s">
        <v>569</v>
      </c>
      <c r="D55" s="6" t="s">
        <v>554</v>
      </c>
      <c r="E55" s="6" t="s">
        <v>537</v>
      </c>
      <c r="F55" s="6" t="s">
        <v>570</v>
      </c>
    </row>
    <row r="56" spans="2:6">
      <c r="B56" s="29" t="s">
        <v>506</v>
      </c>
      <c r="C56" s="29" t="s">
        <v>571</v>
      </c>
      <c r="D56" s="29" t="s">
        <v>572</v>
      </c>
      <c r="E56" s="29" t="s">
        <v>537</v>
      </c>
      <c r="F56" s="29" t="s">
        <v>573</v>
      </c>
    </row>
    <row r="57" spans="2:6">
      <c r="B57" s="6" t="s">
        <v>495</v>
      </c>
      <c r="C57" s="6" t="s">
        <v>574</v>
      </c>
      <c r="D57" s="6" t="s">
        <v>574</v>
      </c>
      <c r="E57" s="6" t="s">
        <v>575</v>
      </c>
      <c r="F57" s="6" t="s">
        <v>576</v>
      </c>
    </row>
    <row r="58" spans="2:6">
      <c r="B58" s="29" t="s">
        <v>495</v>
      </c>
      <c r="C58" s="29" t="s">
        <v>577</v>
      </c>
      <c r="D58" s="29" t="s">
        <v>565</v>
      </c>
      <c r="E58" s="29" t="s">
        <v>578</v>
      </c>
      <c r="F58" s="29" t="s">
        <v>579</v>
      </c>
    </row>
    <row r="59" spans="2:6">
      <c r="B59" s="6" t="s">
        <v>495</v>
      </c>
      <c r="C59" s="6" t="s">
        <v>580</v>
      </c>
      <c r="D59" s="6" t="s">
        <v>532</v>
      </c>
      <c r="E59" s="6" t="s">
        <v>578</v>
      </c>
      <c r="F59" s="6" t="s">
        <v>581</v>
      </c>
    </row>
    <row r="60" spans="2:6">
      <c r="B60" s="29" t="s">
        <v>495</v>
      </c>
      <c r="C60" s="29" t="s">
        <v>582</v>
      </c>
      <c r="D60" s="29" t="s">
        <v>583</v>
      </c>
      <c r="E60" s="29" t="s">
        <v>584</v>
      </c>
      <c r="F60" s="29" t="s">
        <v>585</v>
      </c>
    </row>
    <row r="61" spans="2:6">
      <c r="B61" s="6" t="s">
        <v>501</v>
      </c>
      <c r="C61" s="6" t="s">
        <v>574</v>
      </c>
      <c r="D61" s="6" t="s">
        <v>574</v>
      </c>
      <c r="E61" s="6" t="s">
        <v>575</v>
      </c>
      <c r="F61" s="6" t="s">
        <v>586</v>
      </c>
    </row>
    <row r="62" spans="2:6">
      <c r="B62" s="29" t="s">
        <v>501</v>
      </c>
      <c r="C62" s="29" t="s">
        <v>587</v>
      </c>
      <c r="D62" s="29" t="s">
        <v>532</v>
      </c>
      <c r="E62" s="29" t="s">
        <v>588</v>
      </c>
      <c r="F62" s="29" t="s">
        <v>589</v>
      </c>
    </row>
    <row r="63" spans="2:6">
      <c r="B63" s="6" t="s">
        <v>501</v>
      </c>
      <c r="C63" s="6" t="s">
        <v>590</v>
      </c>
      <c r="D63" s="6" t="s">
        <v>591</v>
      </c>
      <c r="E63" s="6" t="s">
        <v>588</v>
      </c>
      <c r="F63" s="6" t="s">
        <v>592</v>
      </c>
    </row>
    <row r="64" spans="2:6">
      <c r="B64" s="29" t="s">
        <v>501</v>
      </c>
      <c r="C64" s="29" t="s">
        <v>593</v>
      </c>
      <c r="D64" s="29" t="s">
        <v>543</v>
      </c>
      <c r="E64" s="29" t="s">
        <v>544</v>
      </c>
      <c r="F64" s="29" t="s">
        <v>594</v>
      </c>
    </row>
    <row r="65" spans="2:6">
      <c r="B65" s="6" t="s">
        <v>501</v>
      </c>
      <c r="C65" s="6" t="s">
        <v>595</v>
      </c>
      <c r="D65" s="6" t="s">
        <v>591</v>
      </c>
      <c r="E65" s="6" t="s">
        <v>596</v>
      </c>
      <c r="F65" s="6" t="s">
        <v>597</v>
      </c>
    </row>
    <row r="66" spans="2:6">
      <c r="B66" s="29" t="s">
        <v>501</v>
      </c>
      <c r="C66" s="29" t="s">
        <v>598</v>
      </c>
      <c r="D66" s="29" t="s">
        <v>543</v>
      </c>
      <c r="E66" s="29" t="s">
        <v>544</v>
      </c>
      <c r="F66" s="29" t="s">
        <v>599</v>
      </c>
    </row>
    <row r="67" spans="2:6">
      <c r="B67" s="6" t="s">
        <v>501</v>
      </c>
      <c r="C67" s="6" t="s">
        <v>600</v>
      </c>
      <c r="D67" s="6" t="s">
        <v>565</v>
      </c>
      <c r="E67" s="6" t="s">
        <v>578</v>
      </c>
      <c r="F67" s="6" t="s">
        <v>601</v>
      </c>
    </row>
    <row r="68" spans="2:6">
      <c r="B68" s="29" t="s">
        <v>501</v>
      </c>
      <c r="C68" s="29" t="s">
        <v>602</v>
      </c>
      <c r="D68" s="29" t="s">
        <v>565</v>
      </c>
      <c r="E68" s="29" t="s">
        <v>578</v>
      </c>
      <c r="F68" s="29" t="s">
        <v>603</v>
      </c>
    </row>
    <row r="69" spans="2:6">
      <c r="B69" s="6" t="s">
        <v>498</v>
      </c>
      <c r="C69" s="6" t="s">
        <v>574</v>
      </c>
      <c r="D69" s="6" t="s">
        <v>574</v>
      </c>
      <c r="E69" s="6" t="s">
        <v>575</v>
      </c>
      <c r="F69" s="6" t="s">
        <v>604</v>
      </c>
    </row>
    <row r="70" spans="2:6">
      <c r="B70" s="29" t="s">
        <v>498</v>
      </c>
      <c r="C70" s="29" t="s">
        <v>605</v>
      </c>
      <c r="D70" s="29" t="s">
        <v>606</v>
      </c>
      <c r="E70" s="29" t="s">
        <v>596</v>
      </c>
      <c r="F70" s="29" t="s">
        <v>607</v>
      </c>
    </row>
    <row r="71" spans="2:6">
      <c r="B71" s="6" t="s">
        <v>498</v>
      </c>
      <c r="C71" s="6" t="s">
        <v>608</v>
      </c>
      <c r="D71" s="6" t="s">
        <v>572</v>
      </c>
      <c r="E71" s="6" t="s">
        <v>596</v>
      </c>
      <c r="F71" s="6" t="s">
        <v>609</v>
      </c>
    </row>
    <row r="72" spans="2:6">
      <c r="B72" s="29" t="s">
        <v>498</v>
      </c>
      <c r="C72" s="29" t="s">
        <v>610</v>
      </c>
      <c r="D72" s="29" t="s">
        <v>543</v>
      </c>
      <c r="E72" s="29" t="s">
        <v>544</v>
      </c>
      <c r="F72" s="29" t="s">
        <v>611</v>
      </c>
    </row>
    <row r="73" spans="2:6">
      <c r="B73" s="6" t="s">
        <v>485</v>
      </c>
      <c r="C73" s="6" t="s">
        <v>574</v>
      </c>
      <c r="D73" s="6" t="s">
        <v>574</v>
      </c>
      <c r="E73" s="6" t="s">
        <v>575</v>
      </c>
      <c r="F73" s="6" t="s">
        <v>612</v>
      </c>
    </row>
    <row r="74" spans="2:6">
      <c r="B74" s="29" t="s">
        <v>485</v>
      </c>
      <c r="C74" s="29" t="s">
        <v>613</v>
      </c>
      <c r="D74" s="29" t="s">
        <v>565</v>
      </c>
      <c r="E74" s="29" t="s">
        <v>596</v>
      </c>
      <c r="F74" s="29" t="s">
        <v>614</v>
      </c>
    </row>
    <row r="75" spans="2:6">
      <c r="B75" s="6" t="s">
        <v>521</v>
      </c>
      <c r="C75" s="6" t="s">
        <v>615</v>
      </c>
      <c r="D75" s="6" t="s">
        <v>616</v>
      </c>
      <c r="E75" s="6" t="s">
        <v>562</v>
      </c>
      <c r="F75" s="6" t="s">
        <v>617</v>
      </c>
    </row>
    <row r="76" spans="2:6">
      <c r="B76" s="29" t="s">
        <v>521</v>
      </c>
      <c r="C76" s="29" t="s">
        <v>618</v>
      </c>
      <c r="D76" s="29" t="s">
        <v>565</v>
      </c>
      <c r="E76" s="29" t="s">
        <v>562</v>
      </c>
      <c r="F76" s="29" t="s">
        <v>619</v>
      </c>
    </row>
  </sheetData>
  <autoFilter ref="B42:F76"/>
  <mergeCells count="4">
    <mergeCell ref="A6:F6"/>
    <mergeCell ref="B8:F10"/>
    <mergeCell ref="B36:F38"/>
    <mergeCell ref="A40:F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2:D35"/>
  <sheetViews>
    <sheetView showGridLines="0" workbookViewId="0"/>
  </sheetViews>
  <sheetFormatPr defaultRowHeight="15"/>
  <cols>
    <col min="1" max="1" width="2.7109375" customWidth="1"/>
    <col min="2" max="2" width="34.7109375" customWidth="1"/>
    <col min="3" max="3" width="96.7109375" customWidth="1"/>
  </cols>
  <sheetData>
    <row r="2" spans="1:4">
      <c r="B2" s="1" t="s">
        <v>620</v>
      </c>
    </row>
    <row r="3" spans="1:4">
      <c r="B3" s="2" t="s">
        <v>621</v>
      </c>
    </row>
    <row r="6" spans="1:4" ht="24" customHeight="1">
      <c r="A6" s="3" t="s">
        <v>622</v>
      </c>
      <c r="B6" s="3"/>
      <c r="C6" s="3"/>
      <c r="D6" s="3"/>
    </row>
    <row r="8" spans="1:4">
      <c r="B8" s="22" t="s">
        <v>623</v>
      </c>
      <c r="C8" s="22" t="s">
        <v>624</v>
      </c>
    </row>
    <row r="9" spans="1:4">
      <c r="B9" s="4" t="s">
        <v>625</v>
      </c>
      <c r="C9" s="5" t="s">
        <v>626</v>
      </c>
    </row>
    <row r="10" spans="1:4">
      <c r="B10" s="4" t="s">
        <v>627</v>
      </c>
      <c r="C10" s="5" t="s">
        <v>628</v>
      </c>
    </row>
    <row r="11" spans="1:4">
      <c r="B11" s="4" t="s">
        <v>629</v>
      </c>
      <c r="C11" s="5" t="s">
        <v>630</v>
      </c>
    </row>
    <row r="12" spans="1:4">
      <c r="B12" s="4" t="s">
        <v>631</v>
      </c>
      <c r="C12" s="5" t="s">
        <v>632</v>
      </c>
    </row>
    <row r="13" spans="1:4">
      <c r="B13" s="4" t="s">
        <v>633</v>
      </c>
      <c r="C13" s="5" t="s">
        <v>634</v>
      </c>
    </row>
    <row r="16" spans="1:4" ht="24" customHeight="1">
      <c r="A16" s="3" t="s">
        <v>635</v>
      </c>
      <c r="B16" s="3"/>
      <c r="C16" s="3"/>
      <c r="D16" s="3"/>
    </row>
    <row r="18" spans="1:4">
      <c r="B18" s="22" t="s">
        <v>636</v>
      </c>
      <c r="C18" s="22" t="s">
        <v>637</v>
      </c>
    </row>
    <row r="19" spans="1:4">
      <c r="B19" s="4" t="s">
        <v>638</v>
      </c>
      <c r="C19" s="5" t="s">
        <v>639</v>
      </c>
    </row>
    <row r="20" spans="1:4">
      <c r="B20" s="4" t="s">
        <v>640</v>
      </c>
      <c r="C20" s="5" t="s">
        <v>641</v>
      </c>
    </row>
    <row r="21" spans="1:4">
      <c r="B21" s="4" t="s">
        <v>642</v>
      </c>
      <c r="C21" s="5" t="s">
        <v>643</v>
      </c>
    </row>
    <row r="22" spans="1:4">
      <c r="B22" s="4" t="s">
        <v>644</v>
      </c>
      <c r="C22" s="5" t="s">
        <v>645</v>
      </c>
    </row>
    <row r="23" spans="1:4">
      <c r="B23" s="4" t="s">
        <v>646</v>
      </c>
      <c r="C23" s="5" t="s">
        <v>647</v>
      </c>
    </row>
    <row r="24" spans="1:4">
      <c r="B24" s="4" t="s">
        <v>648</v>
      </c>
      <c r="C24" s="5" t="s">
        <v>649</v>
      </c>
    </row>
    <row r="27" spans="1:4" ht="24" customHeight="1">
      <c r="A27" s="3" t="s">
        <v>650</v>
      </c>
      <c r="B27" s="3"/>
      <c r="C27" s="3"/>
      <c r="D27" s="3"/>
    </row>
    <row r="29" spans="1:4">
      <c r="B29" s="22" t="s">
        <v>651</v>
      </c>
      <c r="C29" s="22" t="s">
        <v>652</v>
      </c>
    </row>
    <row r="30" spans="1:4">
      <c r="B30" s="4" t="s">
        <v>653</v>
      </c>
      <c r="C30" s="5" t="s">
        <v>654</v>
      </c>
    </row>
    <row r="31" spans="1:4">
      <c r="B31" s="4" t="s">
        <v>655</v>
      </c>
      <c r="C31" s="5" t="s">
        <v>656</v>
      </c>
    </row>
    <row r="32" spans="1:4">
      <c r="B32" s="4" t="s">
        <v>657</v>
      </c>
      <c r="C32" s="5" t="s">
        <v>658</v>
      </c>
    </row>
    <row r="33" spans="2:3">
      <c r="B33" s="4" t="s">
        <v>659</v>
      </c>
      <c r="C33" s="5" t="s">
        <v>660</v>
      </c>
    </row>
    <row r="34" spans="2:3">
      <c r="B34" s="4" t="s">
        <v>661</v>
      </c>
      <c r="C34" s="5" t="s">
        <v>662</v>
      </c>
    </row>
    <row r="35" spans="2:3">
      <c r="B35" s="4" t="s">
        <v>663</v>
      </c>
      <c r="C35" s="5" t="s">
        <v>664</v>
      </c>
    </row>
  </sheetData>
  <mergeCells count="3">
    <mergeCell ref="A6:D6"/>
    <mergeCell ref="A16:D16"/>
    <mergeCell ref="A27:D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Cover</vt:lpstr>
      <vt:lpstr>2. Executive Summary</vt:lpstr>
      <vt:lpstr>3. Merchant Scorecard</vt:lpstr>
      <vt:lpstr>4. Voucher Analysis</vt:lpstr>
      <vt:lpstr>5. Operational View</vt:lpstr>
      <vt:lpstr>6. Anomalies &amp; Alerts</vt:lpstr>
      <vt:lpstr>7. ML Model Results</vt:lpstr>
      <vt:lpstr>8. Business Questions</vt:lpstr>
      <vt:lpstr>9. Data Dictionary</vt:lpstr>
      <vt:lpstr>10. 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2026-08-11T18:37:49Z</dcterms:created>
  <dcterms:modified xsi:type="dcterms:W3CDTF">2026-08-11T18:37:49Z</dcterms:modified>
</cp:coreProperties>
</file>